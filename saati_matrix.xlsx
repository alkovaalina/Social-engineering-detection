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kov\OneDrive\Робочий стіл\"/>
    </mc:Choice>
  </mc:AlternateContent>
  <xr:revisionPtr revIDLastSave="0" documentId="13_ncr:1_{F1532629-7F2F-41C0-8076-275673C93610}" xr6:coauthVersionLast="47" xr6:coauthVersionMax="47" xr10:uidLastSave="{00000000-0000-0000-0000-000000000000}"/>
  <bookViews>
    <workbookView xWindow="-108" yWindow="-108" windowWidth="23256" windowHeight="12456" activeTab="3" xr2:uid="{D5C5AD0E-D6C1-46FA-85A4-D736E13D3B0E}"/>
  </bookViews>
  <sheets>
    <sheet name="Phishing" sheetId="1" r:id="rId1"/>
    <sheet name="Spear-phishing" sheetId="2" r:id="rId2"/>
    <sheet name="Baiting" sheetId="3" r:id="rId3"/>
    <sheet name="Water-holing" sheetId="4" r:id="rId4"/>
    <sheet name="Pretextin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7" i="5" l="1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" i="5"/>
  <c r="AA27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" i="5"/>
  <c r="AB27" i="4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" i="4"/>
  <c r="AA27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" i="4"/>
  <c r="AB27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" i="3"/>
  <c r="AA27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" i="3"/>
  <c r="AB26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" i="2"/>
  <c r="AA26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" i="2"/>
  <c r="AB27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3" i="1"/>
  <c r="AB4" i="1"/>
  <c r="AB5" i="1"/>
  <c r="AB2" i="1"/>
  <c r="AA27" i="1" l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" i="1"/>
</calcChain>
</file>

<file path=xl/sharedStrings.xml><?xml version="1.0" encoding="utf-8"?>
<sst xmlns="http://schemas.openxmlformats.org/spreadsheetml/2006/main" count="259" uniqueCount="28">
  <si>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</si>
  <si>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</si>
  <si>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</si>
  <si>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</si>
  <si>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</si>
  <si>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</si>
  <si>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</si>
  <si>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</si>
  <si>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</si>
  <si>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</si>
  <si>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</si>
  <si>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</si>
  <si>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</si>
  <si>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</si>
  <si>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</si>
  <si>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</si>
  <si>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</si>
  <si>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</si>
  <si>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</si>
  <si>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</si>
  <si>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</si>
  <si>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</si>
  <si>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</si>
  <si>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</si>
  <si>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</si>
  <si>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Сума по рядку</t>
  </si>
  <si>
    <t>Ваги</t>
  </si>
  <si>
    <t>Вага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</si>
</sst>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65E67-BCCC-4146-BBED-91FE12891871}">
  <dimension ref="A1:AB27"/>
  <sheetViews>
    <sheetView topLeftCell="G1" workbookViewId="0">
      <selection activeCell="AB2" sqref="AB2"/>
    </sheetView>
  </sheetViews>
  <sheetFormatPr defaultRowHeight="14.4" x14ac:dyDescent="0.3"/>
  <cols>
    <col min="27" max="27" width="14.6640625" customWidth="1"/>
    <col min="28" max="28" width="10.5546875" customWidth="1"/>
  </cols>
  <sheetData>
    <row r="1" spans="1:28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2" t="s">
        <v>25</v>
      </c>
      <c r="AB1" s="3" t="s">
        <v>26</v>
      </c>
    </row>
    <row r="2" spans="1:28" x14ac:dyDescent="0.3">
      <c r="A2" s="1" t="s">
        <v>0</v>
      </c>
      <c r="B2" s="4">
        <v>1</v>
      </c>
      <c r="C2" s="4">
        <v>1</v>
      </c>
      <c r="D2" s="4">
        <v>5</v>
      </c>
      <c r="E2" s="4">
        <v>3</v>
      </c>
      <c r="F2" s="4">
        <v>9</v>
      </c>
      <c r="G2" s="4">
        <v>9</v>
      </c>
      <c r="H2" s="4">
        <v>9</v>
      </c>
      <c r="I2" s="4">
        <v>9</v>
      </c>
      <c r="J2" s="4">
        <v>9</v>
      </c>
      <c r="K2" s="4">
        <v>5</v>
      </c>
      <c r="L2" s="4">
        <v>9</v>
      </c>
      <c r="M2" s="4">
        <v>5</v>
      </c>
      <c r="N2" s="4">
        <v>5</v>
      </c>
      <c r="O2" s="4">
        <v>9</v>
      </c>
      <c r="P2" s="4">
        <v>9</v>
      </c>
      <c r="Q2" s="4">
        <v>3</v>
      </c>
      <c r="R2" s="4">
        <v>9</v>
      </c>
      <c r="S2" s="4">
        <v>3</v>
      </c>
      <c r="T2" s="4">
        <v>7</v>
      </c>
      <c r="U2" s="4">
        <v>9</v>
      </c>
      <c r="V2" s="4">
        <v>9</v>
      </c>
      <c r="W2" s="4">
        <v>5</v>
      </c>
      <c r="X2" s="4">
        <v>3</v>
      </c>
      <c r="Y2" s="4">
        <v>3</v>
      </c>
      <c r="Z2" s="4">
        <v>3</v>
      </c>
      <c r="AA2" s="5">
        <f>SUM(B2:Z2)</f>
        <v>151</v>
      </c>
      <c r="AB2" s="6">
        <f>AA2/$AA$27</f>
        <v>0.10740137744044738</v>
      </c>
    </row>
    <row r="3" spans="1:28" x14ac:dyDescent="0.3">
      <c r="A3" s="1" t="s">
        <v>1</v>
      </c>
      <c r="B3" s="4">
        <v>1</v>
      </c>
      <c r="C3" s="4">
        <v>1</v>
      </c>
      <c r="D3" s="4">
        <v>5</v>
      </c>
      <c r="E3" s="4">
        <v>1</v>
      </c>
      <c r="F3" s="4">
        <v>9</v>
      </c>
      <c r="G3" s="4">
        <v>7</v>
      </c>
      <c r="H3" s="4">
        <v>9</v>
      </c>
      <c r="I3" s="4">
        <v>9</v>
      </c>
      <c r="J3" s="4">
        <v>9</v>
      </c>
      <c r="K3" s="4">
        <v>5</v>
      </c>
      <c r="L3" s="4">
        <v>9</v>
      </c>
      <c r="M3" s="4">
        <v>5</v>
      </c>
      <c r="N3" s="4">
        <v>5</v>
      </c>
      <c r="O3" s="4">
        <v>9</v>
      </c>
      <c r="P3" s="4">
        <v>9</v>
      </c>
      <c r="Q3" s="4">
        <v>1</v>
      </c>
      <c r="R3" s="4">
        <v>9</v>
      </c>
      <c r="S3" s="4">
        <v>3</v>
      </c>
      <c r="T3" s="4">
        <v>7</v>
      </c>
      <c r="U3" s="4">
        <v>9</v>
      </c>
      <c r="V3" s="4">
        <v>9</v>
      </c>
      <c r="W3" s="4">
        <v>5</v>
      </c>
      <c r="X3" s="4">
        <v>3</v>
      </c>
      <c r="Y3" s="4">
        <v>3</v>
      </c>
      <c r="Z3" s="4">
        <v>3</v>
      </c>
      <c r="AA3" s="5">
        <f t="shared" ref="AA3:AA26" si="0">SUM(B3:Z3)</f>
        <v>145</v>
      </c>
      <c r="AB3" s="6">
        <f t="shared" ref="AB3:AB26" si="1">AA3/$AA$27</f>
        <v>0.10313377303884019</v>
      </c>
    </row>
    <row r="4" spans="1:28" x14ac:dyDescent="0.3">
      <c r="A4" s="1" t="s">
        <v>2</v>
      </c>
      <c r="B4" s="4">
        <v>0.2</v>
      </c>
      <c r="C4" s="4">
        <v>0.2</v>
      </c>
      <c r="D4" s="4">
        <v>1</v>
      </c>
      <c r="E4" s="4">
        <v>0.33300000000000002</v>
      </c>
      <c r="F4" s="4">
        <v>5</v>
      </c>
      <c r="G4" s="4">
        <v>3</v>
      </c>
      <c r="H4" s="4">
        <v>5</v>
      </c>
      <c r="I4" s="4">
        <v>5</v>
      </c>
      <c r="J4" s="4">
        <v>5</v>
      </c>
      <c r="K4" s="4">
        <v>1</v>
      </c>
      <c r="L4" s="4">
        <v>5</v>
      </c>
      <c r="M4" s="4">
        <v>1</v>
      </c>
      <c r="N4" s="4">
        <v>1</v>
      </c>
      <c r="O4" s="4">
        <v>5</v>
      </c>
      <c r="P4" s="4">
        <v>5</v>
      </c>
      <c r="Q4" s="4">
        <v>0.33300000000000002</v>
      </c>
      <c r="R4" s="4">
        <v>5</v>
      </c>
      <c r="S4" s="4">
        <v>0.33300000000000002</v>
      </c>
      <c r="T4" s="4">
        <v>1</v>
      </c>
      <c r="U4" s="4">
        <v>5</v>
      </c>
      <c r="V4" s="4">
        <v>5</v>
      </c>
      <c r="W4" s="4">
        <v>1</v>
      </c>
      <c r="X4" s="4">
        <v>0.33300000000000002</v>
      </c>
      <c r="Y4" s="4">
        <v>0.33300000000000002</v>
      </c>
      <c r="Z4" s="4">
        <v>0.33300000000000002</v>
      </c>
      <c r="AA4" s="5">
        <f t="shared" si="0"/>
        <v>61.397999999999996</v>
      </c>
      <c r="AB4" s="6">
        <f t="shared" si="1"/>
        <v>4.3670395841646274E-2</v>
      </c>
    </row>
    <row r="5" spans="1:28" x14ac:dyDescent="0.3">
      <c r="A5" s="1" t="s">
        <v>3</v>
      </c>
      <c r="B5" s="4">
        <v>0.33300000000000002</v>
      </c>
      <c r="C5" s="4">
        <v>1</v>
      </c>
      <c r="D5" s="4">
        <v>3</v>
      </c>
      <c r="E5" s="4">
        <v>1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3</v>
      </c>
      <c r="L5" s="4">
        <v>7</v>
      </c>
      <c r="M5" s="4">
        <v>3</v>
      </c>
      <c r="N5" s="4">
        <v>3</v>
      </c>
      <c r="O5" s="4">
        <v>7</v>
      </c>
      <c r="P5" s="4">
        <v>7</v>
      </c>
      <c r="Q5" s="4">
        <v>1</v>
      </c>
      <c r="R5" s="4">
        <v>7</v>
      </c>
      <c r="S5" s="4">
        <v>1</v>
      </c>
      <c r="T5" s="4">
        <v>5</v>
      </c>
      <c r="U5" s="4">
        <v>7</v>
      </c>
      <c r="V5" s="4">
        <v>7</v>
      </c>
      <c r="W5" s="4">
        <v>3</v>
      </c>
      <c r="X5" s="4">
        <v>1</v>
      </c>
      <c r="Y5" s="4">
        <v>1</v>
      </c>
      <c r="Z5" s="4">
        <v>1</v>
      </c>
      <c r="AA5" s="5">
        <f t="shared" si="0"/>
        <v>104.333</v>
      </c>
      <c r="AB5" s="6">
        <f t="shared" si="1"/>
        <v>7.4208661672146986E-2</v>
      </c>
    </row>
    <row r="6" spans="1:28" x14ac:dyDescent="0.3">
      <c r="A6" s="1" t="s">
        <v>4</v>
      </c>
      <c r="B6" s="4">
        <v>0.111</v>
      </c>
      <c r="C6" s="4">
        <v>0.111</v>
      </c>
      <c r="D6" s="4">
        <v>0.2</v>
      </c>
      <c r="E6" s="4">
        <v>0.14299999999999999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0.2</v>
      </c>
      <c r="L6" s="4">
        <v>1</v>
      </c>
      <c r="M6" s="4">
        <v>0.2</v>
      </c>
      <c r="N6" s="4">
        <v>0.2</v>
      </c>
      <c r="O6" s="4">
        <v>1</v>
      </c>
      <c r="P6" s="4">
        <v>1</v>
      </c>
      <c r="Q6" s="4">
        <v>0.14299999999999999</v>
      </c>
      <c r="R6" s="4">
        <v>1</v>
      </c>
      <c r="S6" s="4">
        <v>0.14299999999999999</v>
      </c>
      <c r="T6" s="4">
        <v>0.33300000000000002</v>
      </c>
      <c r="U6" s="4">
        <v>1</v>
      </c>
      <c r="V6" s="4">
        <v>1</v>
      </c>
      <c r="W6" s="4">
        <v>0.2</v>
      </c>
      <c r="X6" s="4">
        <v>0.14299999999999999</v>
      </c>
      <c r="Y6" s="4">
        <v>0.14299999999999999</v>
      </c>
      <c r="Z6" s="4">
        <v>0.14299999999999999</v>
      </c>
      <c r="AA6" s="5">
        <f t="shared" si="0"/>
        <v>13.413000000000002</v>
      </c>
      <c r="AB6" s="6">
        <f t="shared" si="1"/>
        <v>9.5402296397928531E-3</v>
      </c>
    </row>
    <row r="7" spans="1:28" x14ac:dyDescent="0.3">
      <c r="A7" s="1" t="s">
        <v>5</v>
      </c>
      <c r="B7" s="4">
        <v>0.111</v>
      </c>
      <c r="C7" s="4">
        <v>0.14299999999999999</v>
      </c>
      <c r="D7" s="4">
        <v>0.33300000000000002</v>
      </c>
      <c r="E7" s="4">
        <v>0.14299999999999999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0.33300000000000002</v>
      </c>
      <c r="L7" s="4">
        <v>1</v>
      </c>
      <c r="M7" s="4">
        <v>0.33300000000000002</v>
      </c>
      <c r="N7" s="4">
        <v>0.33300000000000002</v>
      </c>
      <c r="O7" s="4">
        <v>1</v>
      </c>
      <c r="P7" s="4">
        <v>1</v>
      </c>
      <c r="Q7" s="4">
        <v>0.14299999999999999</v>
      </c>
      <c r="R7" s="4">
        <v>1</v>
      </c>
      <c r="S7" s="4">
        <v>0.2</v>
      </c>
      <c r="T7" s="4">
        <v>1</v>
      </c>
      <c r="U7" s="4">
        <v>1</v>
      </c>
      <c r="V7" s="4">
        <v>1</v>
      </c>
      <c r="W7" s="4">
        <v>0.33300000000000002</v>
      </c>
      <c r="X7" s="4">
        <v>0.2</v>
      </c>
      <c r="Y7" s="4">
        <v>0.2</v>
      </c>
      <c r="Z7" s="4">
        <v>0.2</v>
      </c>
      <c r="AA7" s="5">
        <f t="shared" si="0"/>
        <v>15.004999999999999</v>
      </c>
      <c r="AB7" s="6">
        <f t="shared" si="1"/>
        <v>1.067256734101929E-2</v>
      </c>
    </row>
    <row r="8" spans="1:28" x14ac:dyDescent="0.3">
      <c r="A8" s="1" t="s">
        <v>6</v>
      </c>
      <c r="B8" s="4">
        <v>0.111</v>
      </c>
      <c r="C8" s="4">
        <v>0.111</v>
      </c>
      <c r="D8" s="4">
        <v>0.2</v>
      </c>
      <c r="E8" s="4">
        <v>0.14299999999999999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0.2</v>
      </c>
      <c r="L8" s="4">
        <v>1</v>
      </c>
      <c r="M8" s="4">
        <v>0.2</v>
      </c>
      <c r="N8" s="4">
        <v>0.2</v>
      </c>
      <c r="O8" s="4">
        <v>1</v>
      </c>
      <c r="P8" s="4">
        <v>1</v>
      </c>
      <c r="Q8" s="4">
        <v>0.14299999999999999</v>
      </c>
      <c r="R8" s="4">
        <v>1</v>
      </c>
      <c r="S8" s="4">
        <v>0.14299999999999999</v>
      </c>
      <c r="T8" s="4">
        <v>0.33300000000000002</v>
      </c>
      <c r="U8" s="4">
        <v>1</v>
      </c>
      <c r="V8" s="4">
        <v>1</v>
      </c>
      <c r="W8" s="4">
        <v>0.2</v>
      </c>
      <c r="X8" s="4">
        <v>0.14299999999999999</v>
      </c>
      <c r="Y8" s="4">
        <v>0.14299999999999999</v>
      </c>
      <c r="Z8" s="4">
        <v>0.14299999999999999</v>
      </c>
      <c r="AA8" s="5">
        <f t="shared" si="0"/>
        <v>13.413000000000002</v>
      </c>
      <c r="AB8" s="6">
        <f t="shared" si="1"/>
        <v>9.5402296397928531E-3</v>
      </c>
    </row>
    <row r="9" spans="1:28" x14ac:dyDescent="0.3">
      <c r="A9" s="1" t="s">
        <v>7</v>
      </c>
      <c r="B9" s="4">
        <v>0.111</v>
      </c>
      <c r="C9" s="4">
        <v>0.111</v>
      </c>
      <c r="D9" s="4">
        <v>0.2</v>
      </c>
      <c r="E9" s="4">
        <v>0.14299999999999999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0.2</v>
      </c>
      <c r="L9" s="4">
        <v>1</v>
      </c>
      <c r="M9" s="4">
        <v>0.2</v>
      </c>
      <c r="N9" s="4">
        <v>0.2</v>
      </c>
      <c r="O9" s="4">
        <v>1</v>
      </c>
      <c r="P9" s="4">
        <v>1</v>
      </c>
      <c r="Q9" s="4">
        <v>0.14299999999999999</v>
      </c>
      <c r="R9" s="4">
        <v>1</v>
      </c>
      <c r="S9" s="4">
        <v>0.14299999999999999</v>
      </c>
      <c r="T9" s="4">
        <v>0.33300000000000002</v>
      </c>
      <c r="U9" s="4">
        <v>1</v>
      </c>
      <c r="V9" s="4">
        <v>1</v>
      </c>
      <c r="W9" s="4">
        <v>0.2</v>
      </c>
      <c r="X9" s="4">
        <v>0.14299999999999999</v>
      </c>
      <c r="Y9" s="4">
        <v>0.14299999999999999</v>
      </c>
      <c r="Z9" s="4">
        <v>0.14299999999999999</v>
      </c>
      <c r="AA9" s="5">
        <f t="shared" si="0"/>
        <v>13.413000000000002</v>
      </c>
      <c r="AB9" s="6">
        <f t="shared" si="1"/>
        <v>9.5402296397928531E-3</v>
      </c>
    </row>
    <row r="10" spans="1:28" x14ac:dyDescent="0.3">
      <c r="A10" s="1" t="s">
        <v>8</v>
      </c>
      <c r="B10" s="4">
        <v>0.111</v>
      </c>
      <c r="C10" s="4">
        <v>0.111</v>
      </c>
      <c r="D10" s="4">
        <v>0.2</v>
      </c>
      <c r="E10" s="4">
        <v>0.14299999999999999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0.2</v>
      </c>
      <c r="L10" s="4">
        <v>1</v>
      </c>
      <c r="M10" s="4">
        <v>0.2</v>
      </c>
      <c r="N10" s="4">
        <v>0.2</v>
      </c>
      <c r="O10" s="4">
        <v>1</v>
      </c>
      <c r="P10" s="4">
        <v>1</v>
      </c>
      <c r="Q10" s="4">
        <v>0.14299999999999999</v>
      </c>
      <c r="R10" s="4">
        <v>1</v>
      </c>
      <c r="S10" s="4">
        <v>0.14299999999999999</v>
      </c>
      <c r="T10" s="4">
        <v>0.33300000000000002</v>
      </c>
      <c r="U10" s="4">
        <v>1</v>
      </c>
      <c r="V10" s="4">
        <v>1</v>
      </c>
      <c r="W10" s="4">
        <v>0.2</v>
      </c>
      <c r="X10" s="4">
        <v>0.14299999999999999</v>
      </c>
      <c r="Y10" s="4">
        <v>0.14299999999999999</v>
      </c>
      <c r="Z10" s="4">
        <v>0.14299999999999999</v>
      </c>
      <c r="AA10" s="5">
        <f t="shared" si="0"/>
        <v>13.413000000000002</v>
      </c>
      <c r="AB10" s="6">
        <f t="shared" si="1"/>
        <v>9.5402296397928531E-3</v>
      </c>
    </row>
    <row r="11" spans="1:28" x14ac:dyDescent="0.3">
      <c r="A11" s="1" t="s">
        <v>9</v>
      </c>
      <c r="B11" s="4">
        <v>0.2</v>
      </c>
      <c r="C11" s="4">
        <v>0.2</v>
      </c>
      <c r="D11" s="4">
        <v>1</v>
      </c>
      <c r="E11" s="4">
        <v>0.33300000000000002</v>
      </c>
      <c r="F11" s="4">
        <v>5</v>
      </c>
      <c r="G11" s="4">
        <v>3</v>
      </c>
      <c r="H11" s="4">
        <v>5</v>
      </c>
      <c r="I11" s="4">
        <v>5</v>
      </c>
      <c r="J11" s="4">
        <v>5</v>
      </c>
      <c r="K11" s="4">
        <v>1</v>
      </c>
      <c r="L11" s="4">
        <v>5</v>
      </c>
      <c r="M11" s="4">
        <v>1</v>
      </c>
      <c r="N11" s="4">
        <v>1</v>
      </c>
      <c r="O11" s="4">
        <v>5</v>
      </c>
      <c r="P11" s="4">
        <v>5</v>
      </c>
      <c r="Q11" s="4">
        <v>0.33300000000000002</v>
      </c>
      <c r="R11" s="4">
        <v>5</v>
      </c>
      <c r="S11" s="4">
        <v>0.33300000000000002</v>
      </c>
      <c r="T11" s="4">
        <v>1</v>
      </c>
      <c r="U11" s="4">
        <v>5</v>
      </c>
      <c r="V11" s="4">
        <v>5</v>
      </c>
      <c r="W11" s="4">
        <v>1</v>
      </c>
      <c r="X11" s="4">
        <v>0.33300000000000002</v>
      </c>
      <c r="Y11" s="4">
        <v>0.33300000000000002</v>
      </c>
      <c r="Z11" s="4">
        <v>0.33300000000000002</v>
      </c>
      <c r="AA11" s="5">
        <f t="shared" si="0"/>
        <v>61.397999999999996</v>
      </c>
      <c r="AB11" s="6">
        <f t="shared" si="1"/>
        <v>4.3670395841646274E-2</v>
      </c>
    </row>
    <row r="12" spans="1:28" x14ac:dyDescent="0.3">
      <c r="A12" s="1" t="s">
        <v>10</v>
      </c>
      <c r="B12" s="4">
        <v>0.111</v>
      </c>
      <c r="C12" s="4">
        <v>0.111</v>
      </c>
      <c r="D12" s="4">
        <v>0.2</v>
      </c>
      <c r="E12" s="4">
        <v>0.14299999999999999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0.2</v>
      </c>
      <c r="L12" s="4">
        <v>1</v>
      </c>
      <c r="M12" s="4">
        <v>0.2</v>
      </c>
      <c r="N12" s="4">
        <v>0.2</v>
      </c>
      <c r="O12" s="4">
        <v>1</v>
      </c>
      <c r="P12" s="4">
        <v>1</v>
      </c>
      <c r="Q12" s="4">
        <v>0.14299999999999999</v>
      </c>
      <c r="R12" s="4">
        <v>1</v>
      </c>
      <c r="S12" s="4">
        <v>0.14299999999999999</v>
      </c>
      <c r="T12" s="4">
        <v>0.33300000000000002</v>
      </c>
      <c r="U12" s="4">
        <v>1</v>
      </c>
      <c r="V12" s="4">
        <v>1</v>
      </c>
      <c r="W12" s="4">
        <v>0.2</v>
      </c>
      <c r="X12" s="4">
        <v>0.14299999999999999</v>
      </c>
      <c r="Y12" s="4">
        <v>0.14299999999999999</v>
      </c>
      <c r="Z12" s="4">
        <v>0.14299999999999999</v>
      </c>
      <c r="AA12" s="5">
        <f t="shared" si="0"/>
        <v>13.413000000000002</v>
      </c>
      <c r="AB12" s="6">
        <f t="shared" si="1"/>
        <v>9.5402296397928531E-3</v>
      </c>
    </row>
    <row r="13" spans="1:28" x14ac:dyDescent="0.3">
      <c r="A13" s="1" t="s">
        <v>11</v>
      </c>
      <c r="B13" s="4">
        <v>0.2</v>
      </c>
      <c r="C13" s="4">
        <v>0.2</v>
      </c>
      <c r="D13" s="4">
        <v>1</v>
      </c>
      <c r="E13" s="4">
        <v>0.33300000000000002</v>
      </c>
      <c r="F13" s="4">
        <v>5</v>
      </c>
      <c r="G13" s="4">
        <v>3</v>
      </c>
      <c r="H13" s="4">
        <v>5</v>
      </c>
      <c r="I13" s="4">
        <v>5</v>
      </c>
      <c r="J13" s="4">
        <v>5</v>
      </c>
      <c r="K13" s="4">
        <v>1</v>
      </c>
      <c r="L13" s="4">
        <v>5</v>
      </c>
      <c r="M13" s="4">
        <v>1</v>
      </c>
      <c r="N13" s="4">
        <v>1</v>
      </c>
      <c r="O13" s="4">
        <v>5</v>
      </c>
      <c r="P13" s="4">
        <v>5</v>
      </c>
      <c r="Q13" s="4">
        <v>0.33300000000000002</v>
      </c>
      <c r="R13" s="4">
        <v>5</v>
      </c>
      <c r="S13" s="4">
        <v>0.33300000000000002</v>
      </c>
      <c r="T13" s="4">
        <v>1</v>
      </c>
      <c r="U13" s="4">
        <v>5</v>
      </c>
      <c r="V13" s="4">
        <v>5</v>
      </c>
      <c r="W13" s="4">
        <v>1</v>
      </c>
      <c r="X13" s="4">
        <v>0.33300000000000002</v>
      </c>
      <c r="Y13" s="4">
        <v>0.33300000000000002</v>
      </c>
      <c r="Z13" s="4">
        <v>0.33300000000000002</v>
      </c>
      <c r="AA13" s="5">
        <f t="shared" si="0"/>
        <v>61.397999999999996</v>
      </c>
      <c r="AB13" s="6">
        <f t="shared" si="1"/>
        <v>4.3670395841646274E-2</v>
      </c>
    </row>
    <row r="14" spans="1:28" x14ac:dyDescent="0.3">
      <c r="A14" s="1" t="s">
        <v>12</v>
      </c>
      <c r="B14" s="4">
        <v>0.2</v>
      </c>
      <c r="C14" s="4">
        <v>0.2</v>
      </c>
      <c r="D14" s="4">
        <v>1</v>
      </c>
      <c r="E14" s="4">
        <v>0.33300000000000002</v>
      </c>
      <c r="F14" s="4">
        <v>5</v>
      </c>
      <c r="G14" s="4">
        <v>3</v>
      </c>
      <c r="H14" s="4">
        <v>5</v>
      </c>
      <c r="I14" s="4">
        <v>5</v>
      </c>
      <c r="J14" s="4">
        <v>5</v>
      </c>
      <c r="K14" s="4">
        <v>1</v>
      </c>
      <c r="L14" s="4">
        <v>5</v>
      </c>
      <c r="M14" s="4">
        <v>1</v>
      </c>
      <c r="N14" s="4">
        <v>1</v>
      </c>
      <c r="O14" s="4">
        <v>5</v>
      </c>
      <c r="P14" s="4">
        <v>5</v>
      </c>
      <c r="Q14" s="4">
        <v>0.33300000000000002</v>
      </c>
      <c r="R14" s="4">
        <v>5</v>
      </c>
      <c r="S14" s="4">
        <v>0.33300000000000002</v>
      </c>
      <c r="T14" s="4">
        <v>1</v>
      </c>
      <c r="U14" s="4">
        <v>5</v>
      </c>
      <c r="V14" s="4">
        <v>5</v>
      </c>
      <c r="W14" s="4">
        <v>1</v>
      </c>
      <c r="X14" s="4">
        <v>0.33300000000000002</v>
      </c>
      <c r="Y14" s="4">
        <v>0.33300000000000002</v>
      </c>
      <c r="Z14" s="4">
        <v>0.33300000000000002</v>
      </c>
      <c r="AA14" s="5">
        <f t="shared" si="0"/>
        <v>61.397999999999996</v>
      </c>
      <c r="AB14" s="6">
        <f t="shared" si="1"/>
        <v>4.3670395841646274E-2</v>
      </c>
    </row>
    <row r="15" spans="1:28" x14ac:dyDescent="0.3">
      <c r="A15" s="1" t="s">
        <v>13</v>
      </c>
      <c r="B15" s="4">
        <v>0.111</v>
      </c>
      <c r="C15" s="4">
        <v>0.111</v>
      </c>
      <c r="D15" s="4">
        <v>0.2</v>
      </c>
      <c r="E15" s="4">
        <v>0.14299999999999999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0.2</v>
      </c>
      <c r="L15" s="4">
        <v>1</v>
      </c>
      <c r="M15" s="4">
        <v>0.2</v>
      </c>
      <c r="N15" s="4">
        <v>0.2</v>
      </c>
      <c r="O15" s="4">
        <v>1</v>
      </c>
      <c r="P15" s="4">
        <v>1</v>
      </c>
      <c r="Q15" s="4">
        <v>0.14299999999999999</v>
      </c>
      <c r="R15" s="4">
        <v>1</v>
      </c>
      <c r="S15" s="4">
        <v>0.14299999999999999</v>
      </c>
      <c r="T15" s="4">
        <v>0.33300000000000002</v>
      </c>
      <c r="U15" s="4">
        <v>1</v>
      </c>
      <c r="V15" s="4">
        <v>1</v>
      </c>
      <c r="W15" s="4">
        <v>0.2</v>
      </c>
      <c r="X15" s="4">
        <v>0.14299999999999999</v>
      </c>
      <c r="Y15" s="4">
        <v>0.14299999999999999</v>
      </c>
      <c r="Z15" s="4">
        <v>0.14299999999999999</v>
      </c>
      <c r="AA15" s="5">
        <f t="shared" si="0"/>
        <v>13.413000000000002</v>
      </c>
      <c r="AB15" s="6">
        <f t="shared" si="1"/>
        <v>9.5402296397928531E-3</v>
      </c>
    </row>
    <row r="16" spans="1:28" x14ac:dyDescent="0.3">
      <c r="A16" s="1" t="s">
        <v>14</v>
      </c>
      <c r="B16" s="4">
        <v>0.111</v>
      </c>
      <c r="C16" s="4">
        <v>0.111</v>
      </c>
      <c r="D16" s="4">
        <v>0.2</v>
      </c>
      <c r="E16" s="4">
        <v>0.14299999999999999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0.2</v>
      </c>
      <c r="L16" s="4">
        <v>1</v>
      </c>
      <c r="M16" s="4">
        <v>0.2</v>
      </c>
      <c r="N16" s="4">
        <v>0.2</v>
      </c>
      <c r="O16" s="4">
        <v>1</v>
      </c>
      <c r="P16" s="4">
        <v>1</v>
      </c>
      <c r="Q16" s="4">
        <v>0.14299999999999999</v>
      </c>
      <c r="R16" s="4">
        <v>1</v>
      </c>
      <c r="S16" s="4">
        <v>0.14299999999999999</v>
      </c>
      <c r="T16" s="4">
        <v>0.33300000000000002</v>
      </c>
      <c r="U16" s="4">
        <v>1</v>
      </c>
      <c r="V16" s="4">
        <v>1</v>
      </c>
      <c r="W16" s="4">
        <v>0.2</v>
      </c>
      <c r="X16" s="4">
        <v>0.14299999999999999</v>
      </c>
      <c r="Y16" s="4">
        <v>0.14299999999999999</v>
      </c>
      <c r="Z16" s="4">
        <v>0.14299999999999999</v>
      </c>
      <c r="AA16" s="5">
        <f t="shared" si="0"/>
        <v>13.413000000000002</v>
      </c>
      <c r="AB16" s="6">
        <f t="shared" si="1"/>
        <v>9.5402296397928531E-3</v>
      </c>
    </row>
    <row r="17" spans="1:28" x14ac:dyDescent="0.3">
      <c r="A17" s="1" t="s">
        <v>15</v>
      </c>
      <c r="B17" s="4">
        <v>0.33300000000000002</v>
      </c>
      <c r="C17" s="4">
        <v>1</v>
      </c>
      <c r="D17" s="4">
        <v>3</v>
      </c>
      <c r="E17" s="4">
        <v>1</v>
      </c>
      <c r="F17" s="4">
        <v>7</v>
      </c>
      <c r="G17" s="4">
        <v>7</v>
      </c>
      <c r="H17" s="4">
        <v>7</v>
      </c>
      <c r="I17" s="4">
        <v>7</v>
      </c>
      <c r="J17" s="4">
        <v>7</v>
      </c>
      <c r="K17" s="4">
        <v>3</v>
      </c>
      <c r="L17" s="4">
        <v>7</v>
      </c>
      <c r="M17" s="4">
        <v>3</v>
      </c>
      <c r="N17" s="4">
        <v>3</v>
      </c>
      <c r="O17" s="4">
        <v>7</v>
      </c>
      <c r="P17" s="4">
        <v>7</v>
      </c>
      <c r="Q17" s="4">
        <v>1</v>
      </c>
      <c r="R17" s="4">
        <v>7</v>
      </c>
      <c r="S17" s="4">
        <v>1</v>
      </c>
      <c r="T17" s="4">
        <v>5</v>
      </c>
      <c r="U17" s="4">
        <v>7</v>
      </c>
      <c r="V17" s="4">
        <v>7</v>
      </c>
      <c r="W17" s="4">
        <v>3</v>
      </c>
      <c r="X17" s="4">
        <v>1</v>
      </c>
      <c r="Y17" s="4">
        <v>1</v>
      </c>
      <c r="Z17" s="4">
        <v>1</v>
      </c>
      <c r="AA17" s="5">
        <f t="shared" si="0"/>
        <v>104.333</v>
      </c>
      <c r="AB17" s="6">
        <f t="shared" si="1"/>
        <v>7.4208661672146986E-2</v>
      </c>
    </row>
    <row r="18" spans="1:28" x14ac:dyDescent="0.3">
      <c r="A18" s="1" t="s">
        <v>16</v>
      </c>
      <c r="B18" s="4">
        <v>0.111</v>
      </c>
      <c r="C18" s="4">
        <v>0.111</v>
      </c>
      <c r="D18" s="4">
        <v>0.2</v>
      </c>
      <c r="E18" s="4">
        <v>0.14299999999999999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0.2</v>
      </c>
      <c r="L18" s="4">
        <v>1</v>
      </c>
      <c r="M18" s="4">
        <v>0.2</v>
      </c>
      <c r="N18" s="4">
        <v>0.2</v>
      </c>
      <c r="O18" s="4">
        <v>1</v>
      </c>
      <c r="P18" s="4">
        <v>1</v>
      </c>
      <c r="Q18" s="4">
        <v>0.14299999999999999</v>
      </c>
      <c r="R18" s="4">
        <v>1</v>
      </c>
      <c r="S18" s="4">
        <v>0.14299999999999999</v>
      </c>
      <c r="T18" s="4">
        <v>0.33300000000000002</v>
      </c>
      <c r="U18" s="4">
        <v>1</v>
      </c>
      <c r="V18" s="4">
        <v>1</v>
      </c>
      <c r="W18" s="4">
        <v>0.2</v>
      </c>
      <c r="X18" s="4">
        <v>0.14299999999999999</v>
      </c>
      <c r="Y18" s="4">
        <v>0.14299999999999999</v>
      </c>
      <c r="Z18" s="4">
        <v>0.14299999999999999</v>
      </c>
      <c r="AA18" s="5">
        <f t="shared" si="0"/>
        <v>13.413000000000002</v>
      </c>
      <c r="AB18" s="6">
        <f t="shared" si="1"/>
        <v>9.5402296397928531E-3</v>
      </c>
    </row>
    <row r="19" spans="1:28" x14ac:dyDescent="0.3">
      <c r="A19" s="1" t="s">
        <v>17</v>
      </c>
      <c r="B19" s="4">
        <v>0.33300000000000002</v>
      </c>
      <c r="C19" s="4">
        <v>0.33300000000000002</v>
      </c>
      <c r="D19" s="4">
        <v>3</v>
      </c>
      <c r="E19" s="4">
        <v>1</v>
      </c>
      <c r="F19" s="4">
        <v>7</v>
      </c>
      <c r="G19" s="4">
        <v>5</v>
      </c>
      <c r="H19" s="4">
        <v>7</v>
      </c>
      <c r="I19" s="4">
        <v>7</v>
      </c>
      <c r="J19" s="4">
        <v>7</v>
      </c>
      <c r="K19" s="4">
        <v>3</v>
      </c>
      <c r="L19" s="4">
        <v>7</v>
      </c>
      <c r="M19" s="4">
        <v>3</v>
      </c>
      <c r="N19" s="4">
        <v>3</v>
      </c>
      <c r="O19" s="4">
        <v>7</v>
      </c>
      <c r="P19" s="4">
        <v>7</v>
      </c>
      <c r="Q19" s="4">
        <v>1</v>
      </c>
      <c r="R19" s="4">
        <v>7</v>
      </c>
      <c r="S19" s="4">
        <v>1</v>
      </c>
      <c r="T19" s="4">
        <v>5</v>
      </c>
      <c r="U19" s="4">
        <v>7</v>
      </c>
      <c r="V19" s="4">
        <v>7</v>
      </c>
      <c r="W19" s="4">
        <v>3</v>
      </c>
      <c r="X19" s="4">
        <v>1</v>
      </c>
      <c r="Y19" s="4">
        <v>1</v>
      </c>
      <c r="Z19" s="4">
        <v>1</v>
      </c>
      <c r="AA19" s="5">
        <f t="shared" si="0"/>
        <v>101.666</v>
      </c>
      <c r="AB19" s="6">
        <f t="shared" si="1"/>
        <v>7.2311711515632593E-2</v>
      </c>
    </row>
    <row r="20" spans="1:28" x14ac:dyDescent="0.3">
      <c r="A20" s="1" t="s">
        <v>18</v>
      </c>
      <c r="B20" s="4">
        <v>0.14299999999999999</v>
      </c>
      <c r="C20" s="4">
        <v>0.14299999999999999</v>
      </c>
      <c r="D20" s="4">
        <v>1</v>
      </c>
      <c r="E20" s="4">
        <v>0.2</v>
      </c>
      <c r="F20" s="4">
        <v>3</v>
      </c>
      <c r="G20" s="4">
        <v>1</v>
      </c>
      <c r="H20" s="4">
        <v>3</v>
      </c>
      <c r="I20" s="4">
        <v>3</v>
      </c>
      <c r="J20" s="4">
        <v>3</v>
      </c>
      <c r="K20" s="4">
        <v>1</v>
      </c>
      <c r="L20" s="4">
        <v>3</v>
      </c>
      <c r="M20" s="4">
        <v>1</v>
      </c>
      <c r="N20" s="4">
        <v>1</v>
      </c>
      <c r="O20" s="4">
        <v>3</v>
      </c>
      <c r="P20" s="4">
        <v>3</v>
      </c>
      <c r="Q20" s="4">
        <v>0.2</v>
      </c>
      <c r="R20" s="4">
        <v>3</v>
      </c>
      <c r="S20" s="4">
        <v>0.2</v>
      </c>
      <c r="T20" s="4">
        <v>1</v>
      </c>
      <c r="U20" s="4">
        <v>3</v>
      </c>
      <c r="V20" s="4">
        <v>3</v>
      </c>
      <c r="W20" s="4">
        <v>1</v>
      </c>
      <c r="X20" s="4">
        <v>0.2</v>
      </c>
      <c r="Y20" s="4">
        <v>0.2</v>
      </c>
      <c r="Z20" s="4">
        <v>0.2</v>
      </c>
      <c r="AA20" s="5">
        <f t="shared" si="0"/>
        <v>38.486000000000004</v>
      </c>
      <c r="AB20" s="6">
        <f t="shared" si="1"/>
        <v>2.7373837166708995E-2</v>
      </c>
    </row>
    <row r="21" spans="1:28" x14ac:dyDescent="0.3">
      <c r="A21" s="1" t="s">
        <v>19</v>
      </c>
      <c r="B21" s="4">
        <v>0.111</v>
      </c>
      <c r="C21" s="4">
        <v>0.111</v>
      </c>
      <c r="D21" s="4">
        <v>0.2</v>
      </c>
      <c r="E21" s="4">
        <v>0.14299999999999999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0.2</v>
      </c>
      <c r="L21" s="4">
        <v>1</v>
      </c>
      <c r="M21" s="4">
        <v>0.2</v>
      </c>
      <c r="N21" s="4">
        <v>0.2</v>
      </c>
      <c r="O21" s="4">
        <v>1</v>
      </c>
      <c r="P21" s="4">
        <v>1</v>
      </c>
      <c r="Q21" s="4">
        <v>0.14299999999999999</v>
      </c>
      <c r="R21" s="4">
        <v>1</v>
      </c>
      <c r="S21" s="4">
        <v>0.14299999999999999</v>
      </c>
      <c r="T21" s="4">
        <v>0.33300000000000002</v>
      </c>
      <c r="U21" s="4">
        <v>1</v>
      </c>
      <c r="V21" s="4">
        <v>1</v>
      </c>
      <c r="W21" s="4">
        <v>0.2</v>
      </c>
      <c r="X21" s="4">
        <v>0.14299999999999999</v>
      </c>
      <c r="Y21" s="4">
        <v>0.14299999999999999</v>
      </c>
      <c r="Z21" s="4">
        <v>0.14299999999999999</v>
      </c>
      <c r="AA21" s="5">
        <f t="shared" si="0"/>
        <v>13.413000000000002</v>
      </c>
      <c r="AB21" s="6">
        <f t="shared" si="1"/>
        <v>9.5402296397928531E-3</v>
      </c>
    </row>
    <row r="22" spans="1:28" x14ac:dyDescent="0.3">
      <c r="A22" s="1" t="s">
        <v>20</v>
      </c>
      <c r="B22" s="4">
        <v>0.111</v>
      </c>
      <c r="C22" s="4">
        <v>0.111</v>
      </c>
      <c r="D22" s="4">
        <v>0.2</v>
      </c>
      <c r="E22" s="4">
        <v>0.14299999999999999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0.2</v>
      </c>
      <c r="L22" s="4">
        <v>1</v>
      </c>
      <c r="M22" s="4">
        <v>0.2</v>
      </c>
      <c r="N22" s="4">
        <v>0.2</v>
      </c>
      <c r="O22" s="4">
        <v>1</v>
      </c>
      <c r="P22" s="4">
        <v>1</v>
      </c>
      <c r="Q22" s="4">
        <v>0.14299999999999999</v>
      </c>
      <c r="R22" s="4">
        <v>1</v>
      </c>
      <c r="S22" s="4">
        <v>0.14299999999999999</v>
      </c>
      <c r="T22" s="4">
        <v>0.33300000000000002</v>
      </c>
      <c r="U22" s="4">
        <v>1</v>
      </c>
      <c r="V22" s="4">
        <v>1</v>
      </c>
      <c r="W22" s="4">
        <v>0.2</v>
      </c>
      <c r="X22" s="4">
        <v>0.14299999999999999</v>
      </c>
      <c r="Y22" s="4">
        <v>0.14299999999999999</v>
      </c>
      <c r="Z22" s="4">
        <v>0.14299999999999999</v>
      </c>
      <c r="AA22" s="5">
        <f t="shared" si="0"/>
        <v>13.413000000000002</v>
      </c>
      <c r="AB22" s="6">
        <f t="shared" si="1"/>
        <v>9.5402296397928531E-3</v>
      </c>
    </row>
    <row r="23" spans="1:28" x14ac:dyDescent="0.3">
      <c r="A23" s="1" t="s">
        <v>21</v>
      </c>
      <c r="B23" s="4">
        <v>0.2</v>
      </c>
      <c r="C23" s="4">
        <v>0.2</v>
      </c>
      <c r="D23" s="4">
        <v>1</v>
      </c>
      <c r="E23" s="4">
        <v>0.33300000000000002</v>
      </c>
      <c r="F23" s="4">
        <v>5</v>
      </c>
      <c r="G23" s="4">
        <v>3</v>
      </c>
      <c r="H23" s="4">
        <v>5</v>
      </c>
      <c r="I23" s="4">
        <v>5</v>
      </c>
      <c r="J23" s="4">
        <v>5</v>
      </c>
      <c r="K23" s="4">
        <v>1</v>
      </c>
      <c r="L23" s="4">
        <v>5</v>
      </c>
      <c r="M23" s="4">
        <v>1</v>
      </c>
      <c r="N23" s="4">
        <v>1</v>
      </c>
      <c r="O23" s="4">
        <v>5</v>
      </c>
      <c r="P23" s="4">
        <v>5</v>
      </c>
      <c r="Q23" s="4">
        <v>0.33300000000000002</v>
      </c>
      <c r="R23" s="4">
        <v>5</v>
      </c>
      <c r="S23" s="4">
        <v>0.33300000000000002</v>
      </c>
      <c r="T23" s="4">
        <v>1</v>
      </c>
      <c r="U23" s="4">
        <v>5</v>
      </c>
      <c r="V23" s="4">
        <v>5</v>
      </c>
      <c r="W23" s="4">
        <v>1</v>
      </c>
      <c r="X23" s="4">
        <v>0.33300000000000002</v>
      </c>
      <c r="Y23" s="4">
        <v>0.33300000000000002</v>
      </c>
      <c r="Z23" s="4">
        <v>0.33300000000000002</v>
      </c>
      <c r="AA23" s="5">
        <f t="shared" si="0"/>
        <v>61.397999999999996</v>
      </c>
      <c r="AB23" s="6">
        <f t="shared" si="1"/>
        <v>4.3670395841646274E-2</v>
      </c>
    </row>
    <row r="24" spans="1:28" x14ac:dyDescent="0.3">
      <c r="A24" s="1" t="s">
        <v>22</v>
      </c>
      <c r="B24" s="4">
        <v>0.33300000000000002</v>
      </c>
      <c r="C24" s="4">
        <v>0.33300000000000002</v>
      </c>
      <c r="D24" s="4">
        <v>3</v>
      </c>
      <c r="E24" s="4">
        <v>1</v>
      </c>
      <c r="F24" s="4">
        <v>7</v>
      </c>
      <c r="G24" s="4">
        <v>5</v>
      </c>
      <c r="H24" s="4">
        <v>7</v>
      </c>
      <c r="I24" s="4">
        <v>7</v>
      </c>
      <c r="J24" s="4">
        <v>7</v>
      </c>
      <c r="K24" s="4">
        <v>3</v>
      </c>
      <c r="L24" s="4">
        <v>7</v>
      </c>
      <c r="M24" s="4">
        <v>3</v>
      </c>
      <c r="N24" s="4">
        <v>3</v>
      </c>
      <c r="O24" s="4">
        <v>7</v>
      </c>
      <c r="P24" s="4">
        <v>7</v>
      </c>
      <c r="Q24" s="4">
        <v>1</v>
      </c>
      <c r="R24" s="4">
        <v>7</v>
      </c>
      <c r="S24" s="4">
        <v>1</v>
      </c>
      <c r="T24" s="4">
        <v>5</v>
      </c>
      <c r="U24" s="4">
        <v>7</v>
      </c>
      <c r="V24" s="4">
        <v>7</v>
      </c>
      <c r="W24" s="4">
        <v>3</v>
      </c>
      <c r="X24" s="4">
        <v>1</v>
      </c>
      <c r="Y24" s="4">
        <v>1</v>
      </c>
      <c r="Z24" s="4">
        <v>1</v>
      </c>
      <c r="AA24" s="5">
        <f t="shared" si="0"/>
        <v>101.666</v>
      </c>
      <c r="AB24" s="6">
        <f t="shared" si="1"/>
        <v>7.2311711515632593E-2</v>
      </c>
    </row>
    <row r="25" spans="1:28" x14ac:dyDescent="0.3">
      <c r="A25" s="1" t="s">
        <v>23</v>
      </c>
      <c r="B25" s="4">
        <v>0.33300000000000002</v>
      </c>
      <c r="C25" s="4">
        <v>0.33300000000000002</v>
      </c>
      <c r="D25" s="4">
        <v>3</v>
      </c>
      <c r="E25" s="4">
        <v>1</v>
      </c>
      <c r="F25" s="4">
        <v>7</v>
      </c>
      <c r="G25" s="4">
        <v>5</v>
      </c>
      <c r="H25" s="4">
        <v>7</v>
      </c>
      <c r="I25" s="4">
        <v>7</v>
      </c>
      <c r="J25" s="4">
        <v>7</v>
      </c>
      <c r="K25" s="4">
        <v>3</v>
      </c>
      <c r="L25" s="4">
        <v>7</v>
      </c>
      <c r="M25" s="4">
        <v>3</v>
      </c>
      <c r="N25" s="4">
        <v>3</v>
      </c>
      <c r="O25" s="4">
        <v>7</v>
      </c>
      <c r="P25" s="4">
        <v>7</v>
      </c>
      <c r="Q25" s="4">
        <v>1</v>
      </c>
      <c r="R25" s="4">
        <v>7</v>
      </c>
      <c r="S25" s="4">
        <v>1</v>
      </c>
      <c r="T25" s="4">
        <v>5</v>
      </c>
      <c r="U25" s="4">
        <v>7</v>
      </c>
      <c r="V25" s="4">
        <v>7</v>
      </c>
      <c r="W25" s="4">
        <v>3</v>
      </c>
      <c r="X25" s="4">
        <v>1</v>
      </c>
      <c r="Y25" s="4">
        <v>1</v>
      </c>
      <c r="Z25" s="4">
        <v>1</v>
      </c>
      <c r="AA25" s="5">
        <f t="shared" si="0"/>
        <v>101.666</v>
      </c>
      <c r="AB25" s="6">
        <f t="shared" si="1"/>
        <v>7.2311711515632593E-2</v>
      </c>
    </row>
    <row r="26" spans="1:28" x14ac:dyDescent="0.3">
      <c r="A26" s="1" t="s">
        <v>24</v>
      </c>
      <c r="B26" s="4">
        <v>0.33300000000000002</v>
      </c>
      <c r="C26" s="4">
        <v>0.33300000000000002</v>
      </c>
      <c r="D26" s="4">
        <v>3</v>
      </c>
      <c r="E26" s="4">
        <v>1</v>
      </c>
      <c r="F26" s="4">
        <v>7</v>
      </c>
      <c r="G26" s="4">
        <v>5</v>
      </c>
      <c r="H26" s="4">
        <v>7</v>
      </c>
      <c r="I26" s="4">
        <v>7</v>
      </c>
      <c r="J26" s="4">
        <v>7</v>
      </c>
      <c r="K26" s="4">
        <v>3</v>
      </c>
      <c r="L26" s="4">
        <v>7</v>
      </c>
      <c r="M26" s="4">
        <v>3</v>
      </c>
      <c r="N26" s="4">
        <v>3</v>
      </c>
      <c r="O26" s="4">
        <v>7</v>
      </c>
      <c r="P26" s="4">
        <v>7</v>
      </c>
      <c r="Q26" s="4">
        <v>1</v>
      </c>
      <c r="R26" s="4">
        <v>7</v>
      </c>
      <c r="S26" s="4">
        <v>1</v>
      </c>
      <c r="T26" s="4">
        <v>5</v>
      </c>
      <c r="U26" s="4">
        <v>7</v>
      </c>
      <c r="V26" s="4">
        <v>7</v>
      </c>
      <c r="W26" s="4">
        <v>3</v>
      </c>
      <c r="X26" s="4">
        <v>1</v>
      </c>
      <c r="Y26" s="4">
        <v>1</v>
      </c>
      <c r="Z26" s="4">
        <v>1</v>
      </c>
      <c r="AA26" s="5">
        <f t="shared" si="0"/>
        <v>101.666</v>
      </c>
      <c r="AB26" s="6">
        <f t="shared" si="1"/>
        <v>7.2311711515632593E-2</v>
      </c>
    </row>
    <row r="27" spans="1:28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8">
        <f>SUM(AA2:AA26)</f>
        <v>1405.9409999999998</v>
      </c>
      <c r="AB27" s="6">
        <f>SUM(AB2:AB26)</f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EE62-FBAE-482D-905A-351B3748520E}">
  <dimension ref="A1:AB26"/>
  <sheetViews>
    <sheetView topLeftCell="G1" workbookViewId="0">
      <selection activeCell="AB2" sqref="AB2:AB25"/>
    </sheetView>
  </sheetViews>
  <sheetFormatPr defaultRowHeight="14.4" x14ac:dyDescent="0.3"/>
  <cols>
    <col min="27" max="27" width="14.44140625" customWidth="1"/>
    <col min="28" max="28" width="11.44140625" customWidth="1"/>
  </cols>
  <sheetData>
    <row r="1" spans="1:28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9" t="s">
        <v>24</v>
      </c>
      <c r="AA1" s="10" t="s">
        <v>25</v>
      </c>
      <c r="AB1" s="11" t="s">
        <v>27</v>
      </c>
    </row>
    <row r="2" spans="1:28" x14ac:dyDescent="0.3">
      <c r="A2" s="1" t="s">
        <v>0</v>
      </c>
      <c r="B2" s="4">
        <v>1</v>
      </c>
      <c r="C2" s="4">
        <v>1</v>
      </c>
      <c r="D2" s="4">
        <v>3</v>
      </c>
      <c r="E2" s="4">
        <v>1</v>
      </c>
      <c r="F2" s="4">
        <v>9</v>
      </c>
      <c r="G2" s="4">
        <v>7</v>
      </c>
      <c r="H2" s="4">
        <v>9</v>
      </c>
      <c r="I2" s="4">
        <v>9</v>
      </c>
      <c r="J2" s="4">
        <v>9</v>
      </c>
      <c r="K2" s="4">
        <v>3</v>
      </c>
      <c r="L2" s="4">
        <v>9</v>
      </c>
      <c r="M2" s="4">
        <v>3</v>
      </c>
      <c r="N2" s="4">
        <v>3</v>
      </c>
      <c r="O2" s="4">
        <v>9</v>
      </c>
      <c r="P2" s="4">
        <v>9</v>
      </c>
      <c r="Q2" s="4">
        <v>1</v>
      </c>
      <c r="R2" s="4">
        <v>9</v>
      </c>
      <c r="S2" s="4">
        <v>1</v>
      </c>
      <c r="T2" s="4">
        <v>5</v>
      </c>
      <c r="U2" s="4">
        <v>9</v>
      </c>
      <c r="V2" s="4">
        <v>9</v>
      </c>
      <c r="W2" s="4">
        <v>3</v>
      </c>
      <c r="X2" s="4">
        <v>1</v>
      </c>
      <c r="Y2" s="4">
        <v>1</v>
      </c>
      <c r="Z2" s="12">
        <v>1</v>
      </c>
      <c r="AA2" s="13">
        <f>SUM(B2:Z2)</f>
        <v>125</v>
      </c>
      <c r="AB2" s="14">
        <f>AA2/$AA$26</f>
        <v>0.10363613601372308</v>
      </c>
    </row>
    <row r="3" spans="1:28" x14ac:dyDescent="0.3">
      <c r="A3" s="1" t="s">
        <v>1</v>
      </c>
      <c r="B3" s="4">
        <v>1</v>
      </c>
      <c r="C3" s="4">
        <v>1</v>
      </c>
      <c r="D3" s="4">
        <v>3</v>
      </c>
      <c r="E3" s="4">
        <v>1</v>
      </c>
      <c r="F3" s="4">
        <v>9</v>
      </c>
      <c r="G3" s="4">
        <v>7</v>
      </c>
      <c r="H3" s="4">
        <v>9</v>
      </c>
      <c r="I3" s="4">
        <v>9</v>
      </c>
      <c r="J3" s="4">
        <v>9</v>
      </c>
      <c r="K3" s="4">
        <v>3</v>
      </c>
      <c r="L3" s="4">
        <v>9</v>
      </c>
      <c r="M3" s="4">
        <v>3</v>
      </c>
      <c r="N3" s="4">
        <v>3</v>
      </c>
      <c r="O3" s="4">
        <v>9</v>
      </c>
      <c r="P3" s="4">
        <v>9</v>
      </c>
      <c r="Q3" s="4">
        <v>1</v>
      </c>
      <c r="R3" s="4">
        <v>9</v>
      </c>
      <c r="S3" s="4">
        <v>1</v>
      </c>
      <c r="T3" s="4">
        <v>5</v>
      </c>
      <c r="U3" s="4">
        <v>9</v>
      </c>
      <c r="V3" s="4">
        <v>9</v>
      </c>
      <c r="W3" s="4">
        <v>3</v>
      </c>
      <c r="X3" s="4">
        <v>1</v>
      </c>
      <c r="Y3" s="4">
        <v>1</v>
      </c>
      <c r="Z3" s="12">
        <v>1</v>
      </c>
      <c r="AA3" s="13">
        <f t="shared" ref="AA3:AA25" si="0">SUM(B3:Z3)</f>
        <v>125</v>
      </c>
      <c r="AB3" s="14">
        <f t="shared" ref="AB3:AB25" si="1">AA3/$AA$26</f>
        <v>0.10363613601372308</v>
      </c>
    </row>
    <row r="4" spans="1:28" x14ac:dyDescent="0.3">
      <c r="A4" s="1" t="s">
        <v>2</v>
      </c>
      <c r="B4" s="4">
        <v>0.33300000000000002</v>
      </c>
      <c r="C4" s="4">
        <v>0.33300000000000002</v>
      </c>
      <c r="D4" s="4">
        <v>1</v>
      </c>
      <c r="E4" s="4">
        <v>0.5</v>
      </c>
      <c r="F4" s="4">
        <v>3</v>
      </c>
      <c r="G4" s="4">
        <v>3</v>
      </c>
      <c r="H4" s="4">
        <v>3</v>
      </c>
      <c r="I4" s="4">
        <v>3</v>
      </c>
      <c r="J4" s="4">
        <v>3</v>
      </c>
      <c r="K4" s="4">
        <v>1</v>
      </c>
      <c r="L4" s="4">
        <v>3</v>
      </c>
      <c r="M4" s="4">
        <v>1</v>
      </c>
      <c r="N4" s="4">
        <v>1</v>
      </c>
      <c r="O4" s="4">
        <v>3</v>
      </c>
      <c r="P4" s="4">
        <v>3</v>
      </c>
      <c r="Q4" s="4">
        <v>0.5</v>
      </c>
      <c r="R4" s="4">
        <v>3</v>
      </c>
      <c r="S4" s="4">
        <v>0.33300000000000002</v>
      </c>
      <c r="T4" s="4">
        <v>1</v>
      </c>
      <c r="U4" s="4">
        <v>3</v>
      </c>
      <c r="V4" s="4">
        <v>3</v>
      </c>
      <c r="W4" s="4">
        <v>1</v>
      </c>
      <c r="X4" s="4">
        <v>0.33300000000000002</v>
      </c>
      <c r="Y4" s="4">
        <v>0.5</v>
      </c>
      <c r="Z4" s="12">
        <v>0.5</v>
      </c>
      <c r="AA4" s="13">
        <f t="shared" si="0"/>
        <v>42.331999999999994</v>
      </c>
      <c r="AB4" s="14">
        <f t="shared" si="1"/>
        <v>3.5096999277863396E-2</v>
      </c>
    </row>
    <row r="5" spans="1:28" x14ac:dyDescent="0.3">
      <c r="A5" s="1" t="s">
        <v>3</v>
      </c>
      <c r="B5" s="4">
        <v>1</v>
      </c>
      <c r="C5" s="4">
        <v>1</v>
      </c>
      <c r="D5" s="4">
        <v>2</v>
      </c>
      <c r="E5" s="4">
        <v>1</v>
      </c>
      <c r="F5" s="4">
        <v>7</v>
      </c>
      <c r="G5" s="4">
        <v>5</v>
      </c>
      <c r="H5" s="4">
        <v>7</v>
      </c>
      <c r="I5" s="4">
        <v>7</v>
      </c>
      <c r="J5" s="4">
        <v>7</v>
      </c>
      <c r="K5" s="4">
        <v>3</v>
      </c>
      <c r="L5" s="4">
        <v>7</v>
      </c>
      <c r="M5" s="4">
        <v>3</v>
      </c>
      <c r="N5" s="4">
        <v>3</v>
      </c>
      <c r="O5" s="4">
        <v>7</v>
      </c>
      <c r="P5" s="4">
        <v>7</v>
      </c>
      <c r="Q5" s="4">
        <v>1</v>
      </c>
      <c r="R5" s="4">
        <v>7</v>
      </c>
      <c r="S5" s="4">
        <v>1</v>
      </c>
      <c r="T5" s="4">
        <v>3</v>
      </c>
      <c r="U5" s="4">
        <v>7</v>
      </c>
      <c r="V5" s="4">
        <v>7</v>
      </c>
      <c r="W5" s="4">
        <v>3</v>
      </c>
      <c r="X5" s="4">
        <v>1</v>
      </c>
      <c r="Y5" s="4">
        <v>1</v>
      </c>
      <c r="Z5" s="12">
        <v>1</v>
      </c>
      <c r="AA5" s="13">
        <f t="shared" si="0"/>
        <v>100</v>
      </c>
      <c r="AB5" s="14">
        <f t="shared" si="1"/>
        <v>8.2908908810978468E-2</v>
      </c>
    </row>
    <row r="6" spans="1:28" x14ac:dyDescent="0.3">
      <c r="A6" s="1" t="s">
        <v>4</v>
      </c>
      <c r="B6" s="4">
        <v>0.111</v>
      </c>
      <c r="C6" s="4">
        <v>0.111</v>
      </c>
      <c r="D6" s="4">
        <v>0.33300000000000002</v>
      </c>
      <c r="E6" s="4">
        <v>0.14299999999999999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0.33300000000000002</v>
      </c>
      <c r="L6" s="4">
        <v>1</v>
      </c>
      <c r="M6" s="4">
        <v>0.33300000000000002</v>
      </c>
      <c r="N6" s="4">
        <v>0.33300000000000002</v>
      </c>
      <c r="O6" s="4">
        <v>1</v>
      </c>
      <c r="P6" s="4">
        <v>1</v>
      </c>
      <c r="Q6" s="4">
        <v>0.14299999999999999</v>
      </c>
      <c r="R6" s="4">
        <v>1</v>
      </c>
      <c r="S6" s="4">
        <v>0.111</v>
      </c>
      <c r="T6" s="4">
        <v>0.5</v>
      </c>
      <c r="U6" s="4">
        <v>1</v>
      </c>
      <c r="V6" s="4">
        <v>1</v>
      </c>
      <c r="W6" s="4">
        <v>0.33300000000000002</v>
      </c>
      <c r="X6" s="4">
        <v>0.111</v>
      </c>
      <c r="Y6" s="4">
        <v>0.2</v>
      </c>
      <c r="Z6" s="12">
        <v>0.2</v>
      </c>
      <c r="AA6" s="13">
        <f t="shared" si="0"/>
        <v>14.295000000000002</v>
      </c>
      <c r="AB6" s="14">
        <f t="shared" si="1"/>
        <v>1.1851828514529372E-2</v>
      </c>
    </row>
    <row r="7" spans="1:28" x14ac:dyDescent="0.3">
      <c r="A7" s="1" t="s">
        <v>5</v>
      </c>
      <c r="B7" s="4">
        <v>0.14299999999999999</v>
      </c>
      <c r="C7" s="4">
        <v>0.14299999999999999</v>
      </c>
      <c r="D7" s="4">
        <v>0.33300000000000002</v>
      </c>
      <c r="E7" s="4">
        <v>0.2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0.5</v>
      </c>
      <c r="L7" s="4">
        <v>1</v>
      </c>
      <c r="M7" s="4">
        <v>0.5</v>
      </c>
      <c r="N7" s="4">
        <v>0.5</v>
      </c>
      <c r="O7" s="4">
        <v>1</v>
      </c>
      <c r="P7" s="4">
        <v>1</v>
      </c>
      <c r="Q7" s="4">
        <v>0.2</v>
      </c>
      <c r="R7" s="4">
        <v>1</v>
      </c>
      <c r="S7" s="4">
        <v>0.14299999999999999</v>
      </c>
      <c r="T7" s="4">
        <v>0.5</v>
      </c>
      <c r="U7" s="4">
        <v>1</v>
      </c>
      <c r="V7" s="4">
        <v>1</v>
      </c>
      <c r="W7" s="4">
        <v>0.5</v>
      </c>
      <c r="X7" s="4">
        <v>0.14299999999999999</v>
      </c>
      <c r="Y7" s="4">
        <v>0.33300000000000002</v>
      </c>
      <c r="Z7" s="12">
        <v>0.33300000000000002</v>
      </c>
      <c r="AA7" s="13">
        <f t="shared" si="0"/>
        <v>15.471</v>
      </c>
      <c r="AB7" s="14">
        <f t="shared" si="1"/>
        <v>1.2826837282146479E-2</v>
      </c>
    </row>
    <row r="8" spans="1:28" x14ac:dyDescent="0.3">
      <c r="A8" s="1" t="s">
        <v>6</v>
      </c>
      <c r="B8" s="4">
        <v>0.111</v>
      </c>
      <c r="C8" s="4">
        <v>0.111</v>
      </c>
      <c r="D8" s="4">
        <v>0.33300000000000002</v>
      </c>
      <c r="E8" s="4">
        <v>0.14299999999999999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0.33300000000000002</v>
      </c>
      <c r="L8" s="4">
        <v>1</v>
      </c>
      <c r="M8" s="4">
        <v>0.33300000000000002</v>
      </c>
      <c r="N8" s="4">
        <v>0.33300000000000002</v>
      </c>
      <c r="O8" s="4">
        <v>1</v>
      </c>
      <c r="P8" s="4">
        <v>1</v>
      </c>
      <c r="Q8" s="4">
        <v>0.14299999999999999</v>
      </c>
      <c r="R8" s="4">
        <v>1</v>
      </c>
      <c r="S8" s="4">
        <v>0.111</v>
      </c>
      <c r="T8" s="4">
        <v>0.5</v>
      </c>
      <c r="U8" s="4">
        <v>1</v>
      </c>
      <c r="V8" s="4">
        <v>1</v>
      </c>
      <c r="W8" s="4">
        <v>0.33300000000000002</v>
      </c>
      <c r="X8" s="4">
        <v>0.111</v>
      </c>
      <c r="Y8" s="4">
        <v>0.2</v>
      </c>
      <c r="Z8" s="12">
        <v>0.2</v>
      </c>
      <c r="AA8" s="13">
        <f t="shared" si="0"/>
        <v>14.295000000000002</v>
      </c>
      <c r="AB8" s="14">
        <f t="shared" si="1"/>
        <v>1.1851828514529372E-2</v>
      </c>
    </row>
    <row r="9" spans="1:28" x14ac:dyDescent="0.3">
      <c r="A9" s="1" t="s">
        <v>7</v>
      </c>
      <c r="B9" s="4">
        <v>0.111</v>
      </c>
      <c r="C9" s="4">
        <v>0.111</v>
      </c>
      <c r="D9" s="4">
        <v>0.33300000000000002</v>
      </c>
      <c r="E9" s="4">
        <v>0.14299999999999999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0.33300000000000002</v>
      </c>
      <c r="L9" s="4">
        <v>1</v>
      </c>
      <c r="M9" s="4">
        <v>0.33300000000000002</v>
      </c>
      <c r="N9" s="4">
        <v>0.33300000000000002</v>
      </c>
      <c r="O9" s="4">
        <v>1</v>
      </c>
      <c r="P9" s="4">
        <v>1</v>
      </c>
      <c r="Q9" s="4">
        <v>0.14299999999999999</v>
      </c>
      <c r="R9" s="4">
        <v>1</v>
      </c>
      <c r="S9" s="4">
        <v>0.111</v>
      </c>
      <c r="T9" s="4">
        <v>0.5</v>
      </c>
      <c r="U9" s="4">
        <v>1</v>
      </c>
      <c r="V9" s="4">
        <v>1</v>
      </c>
      <c r="W9" s="4">
        <v>0.33300000000000002</v>
      </c>
      <c r="X9" s="4">
        <v>0.111</v>
      </c>
      <c r="Y9" s="4">
        <v>0.2</v>
      </c>
      <c r="Z9" s="12">
        <v>0.2</v>
      </c>
      <c r="AA9" s="13">
        <f t="shared" si="0"/>
        <v>14.295000000000002</v>
      </c>
      <c r="AB9" s="14">
        <f t="shared" si="1"/>
        <v>1.1851828514529372E-2</v>
      </c>
    </row>
    <row r="10" spans="1:28" x14ac:dyDescent="0.3">
      <c r="A10" s="1" t="s">
        <v>8</v>
      </c>
      <c r="B10" s="4">
        <v>0.111</v>
      </c>
      <c r="C10" s="4">
        <v>0.111</v>
      </c>
      <c r="D10" s="4">
        <v>0.33300000000000002</v>
      </c>
      <c r="E10" s="4">
        <v>0.14299999999999999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0.33300000000000002</v>
      </c>
      <c r="L10" s="4">
        <v>1</v>
      </c>
      <c r="M10" s="4">
        <v>0.33300000000000002</v>
      </c>
      <c r="N10" s="4">
        <v>0.33300000000000002</v>
      </c>
      <c r="O10" s="4">
        <v>1</v>
      </c>
      <c r="P10" s="4">
        <v>1</v>
      </c>
      <c r="Q10" s="4">
        <v>0.14299999999999999</v>
      </c>
      <c r="R10" s="4">
        <v>1</v>
      </c>
      <c r="S10" s="4">
        <v>0.111</v>
      </c>
      <c r="T10" s="4">
        <v>0.5</v>
      </c>
      <c r="U10" s="4">
        <v>1</v>
      </c>
      <c r="V10" s="4">
        <v>1</v>
      </c>
      <c r="W10" s="4">
        <v>0.33300000000000002</v>
      </c>
      <c r="X10" s="4">
        <v>0.111</v>
      </c>
      <c r="Y10" s="4">
        <v>0.2</v>
      </c>
      <c r="Z10" s="12">
        <v>0.2</v>
      </c>
      <c r="AA10" s="13">
        <f t="shared" si="0"/>
        <v>14.295000000000002</v>
      </c>
      <c r="AB10" s="14">
        <f t="shared" si="1"/>
        <v>1.1851828514529372E-2</v>
      </c>
    </row>
    <row r="11" spans="1:28" x14ac:dyDescent="0.3">
      <c r="A11" s="1" t="s">
        <v>9</v>
      </c>
      <c r="B11" s="4">
        <v>0.33300000000000002</v>
      </c>
      <c r="C11" s="4">
        <v>0.33300000000000002</v>
      </c>
      <c r="D11" s="4">
        <v>1</v>
      </c>
      <c r="E11" s="4">
        <v>0.33300000000000002</v>
      </c>
      <c r="F11" s="4">
        <v>3</v>
      </c>
      <c r="G11" s="4">
        <v>2</v>
      </c>
      <c r="H11" s="4">
        <v>3</v>
      </c>
      <c r="I11" s="4">
        <v>3</v>
      </c>
      <c r="J11" s="4">
        <v>3</v>
      </c>
      <c r="K11" s="4">
        <v>1</v>
      </c>
      <c r="L11" s="4">
        <v>3</v>
      </c>
      <c r="M11" s="4">
        <v>1</v>
      </c>
      <c r="N11" s="4">
        <v>1</v>
      </c>
      <c r="O11" s="4">
        <v>3</v>
      </c>
      <c r="P11" s="4">
        <v>3</v>
      </c>
      <c r="Q11" s="4">
        <v>0.33300000000000002</v>
      </c>
      <c r="R11" s="4">
        <v>3</v>
      </c>
      <c r="S11" s="4">
        <v>0.33300000000000002</v>
      </c>
      <c r="T11" s="4">
        <v>1</v>
      </c>
      <c r="U11" s="4">
        <v>3</v>
      </c>
      <c r="V11" s="4">
        <v>3</v>
      </c>
      <c r="W11" s="4">
        <v>1</v>
      </c>
      <c r="X11" s="4">
        <v>0.33300000000000002</v>
      </c>
      <c r="Y11" s="4">
        <v>0.5</v>
      </c>
      <c r="Z11" s="12">
        <v>0.5</v>
      </c>
      <c r="AA11" s="13">
        <f t="shared" si="0"/>
        <v>40.99799999999999</v>
      </c>
      <c r="AB11" s="14">
        <f t="shared" si="1"/>
        <v>3.3990994434324941E-2</v>
      </c>
    </row>
    <row r="12" spans="1:28" x14ac:dyDescent="0.3">
      <c r="A12" s="1" t="s">
        <v>10</v>
      </c>
      <c r="B12" s="4">
        <v>0.111</v>
      </c>
      <c r="C12" s="4">
        <v>0.111</v>
      </c>
      <c r="D12" s="4">
        <v>0.33300000000000002</v>
      </c>
      <c r="E12" s="4">
        <v>0.14299999999999999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0.33300000000000002</v>
      </c>
      <c r="L12" s="4">
        <v>1</v>
      </c>
      <c r="M12" s="4">
        <v>0.33300000000000002</v>
      </c>
      <c r="N12" s="4">
        <v>0.33300000000000002</v>
      </c>
      <c r="O12" s="4">
        <v>1</v>
      </c>
      <c r="P12" s="4">
        <v>1</v>
      </c>
      <c r="Q12" s="4">
        <v>0.14299999999999999</v>
      </c>
      <c r="R12" s="4">
        <v>1</v>
      </c>
      <c r="S12" s="4">
        <v>0.111</v>
      </c>
      <c r="T12" s="4">
        <v>0.5</v>
      </c>
      <c r="U12" s="4">
        <v>1</v>
      </c>
      <c r="V12" s="4">
        <v>1</v>
      </c>
      <c r="W12" s="4">
        <v>0.33300000000000002</v>
      </c>
      <c r="X12" s="4">
        <v>0.111</v>
      </c>
      <c r="Y12" s="4">
        <v>0.2</v>
      </c>
      <c r="Z12" s="12">
        <v>0.2</v>
      </c>
      <c r="AA12" s="13">
        <f t="shared" si="0"/>
        <v>14.295000000000002</v>
      </c>
      <c r="AB12" s="14">
        <f t="shared" si="1"/>
        <v>1.1851828514529372E-2</v>
      </c>
    </row>
    <row r="13" spans="1:28" x14ac:dyDescent="0.3">
      <c r="A13" s="1" t="s">
        <v>11</v>
      </c>
      <c r="B13" s="4">
        <v>0.33300000000000002</v>
      </c>
      <c r="C13" s="4">
        <v>0.33300000000000002</v>
      </c>
      <c r="D13" s="4">
        <v>1</v>
      </c>
      <c r="E13" s="4">
        <v>0.33300000000000002</v>
      </c>
      <c r="F13" s="4">
        <v>3</v>
      </c>
      <c r="G13" s="4">
        <v>2</v>
      </c>
      <c r="H13" s="4">
        <v>3</v>
      </c>
      <c r="I13" s="4">
        <v>3</v>
      </c>
      <c r="J13" s="4">
        <v>3</v>
      </c>
      <c r="K13" s="4">
        <v>1</v>
      </c>
      <c r="L13" s="4">
        <v>3</v>
      </c>
      <c r="M13" s="4">
        <v>1</v>
      </c>
      <c r="N13" s="4">
        <v>1</v>
      </c>
      <c r="O13" s="4">
        <v>3</v>
      </c>
      <c r="P13" s="4">
        <v>3</v>
      </c>
      <c r="Q13" s="4">
        <v>0.33300000000000002</v>
      </c>
      <c r="R13" s="4">
        <v>3</v>
      </c>
      <c r="S13" s="4">
        <v>0.33300000000000002</v>
      </c>
      <c r="T13" s="4">
        <v>1</v>
      </c>
      <c r="U13" s="4">
        <v>3</v>
      </c>
      <c r="V13" s="4">
        <v>3</v>
      </c>
      <c r="W13" s="4">
        <v>1</v>
      </c>
      <c r="X13" s="4">
        <v>0.33300000000000002</v>
      </c>
      <c r="Y13" s="4">
        <v>0.5</v>
      </c>
      <c r="Z13" s="12">
        <v>0.5</v>
      </c>
      <c r="AA13" s="13">
        <f t="shared" si="0"/>
        <v>40.99799999999999</v>
      </c>
      <c r="AB13" s="14">
        <f t="shared" si="1"/>
        <v>3.3990994434324941E-2</v>
      </c>
    </row>
    <row r="14" spans="1:28" x14ac:dyDescent="0.3">
      <c r="A14" s="1" t="s">
        <v>12</v>
      </c>
      <c r="B14" s="4">
        <v>0.33300000000000002</v>
      </c>
      <c r="C14" s="4">
        <v>0.33300000000000002</v>
      </c>
      <c r="D14" s="4">
        <v>1</v>
      </c>
      <c r="E14" s="4">
        <v>0.5</v>
      </c>
      <c r="F14" s="4">
        <v>3</v>
      </c>
      <c r="G14" s="4">
        <v>2</v>
      </c>
      <c r="H14" s="4">
        <v>3</v>
      </c>
      <c r="I14" s="4">
        <v>3</v>
      </c>
      <c r="J14" s="4">
        <v>3</v>
      </c>
      <c r="K14" s="4">
        <v>1</v>
      </c>
      <c r="L14" s="4">
        <v>3</v>
      </c>
      <c r="M14" s="4">
        <v>1</v>
      </c>
      <c r="N14" s="4">
        <v>1</v>
      </c>
      <c r="O14" s="4">
        <v>3</v>
      </c>
      <c r="P14" s="4">
        <v>3</v>
      </c>
      <c r="Q14" s="4">
        <v>0.5</v>
      </c>
      <c r="R14" s="4">
        <v>3</v>
      </c>
      <c r="S14" s="4">
        <v>0.33300000000000002</v>
      </c>
      <c r="T14" s="4">
        <v>1</v>
      </c>
      <c r="U14" s="4">
        <v>3</v>
      </c>
      <c r="V14" s="4">
        <v>3</v>
      </c>
      <c r="W14" s="4">
        <v>1</v>
      </c>
      <c r="X14" s="4">
        <v>0.33300000000000002</v>
      </c>
      <c r="Y14" s="4">
        <v>0.5</v>
      </c>
      <c r="Z14" s="12">
        <v>0.5</v>
      </c>
      <c r="AA14" s="13">
        <f t="shared" si="0"/>
        <v>41.331999999999994</v>
      </c>
      <c r="AB14" s="14">
        <f t="shared" si="1"/>
        <v>3.4267910189753614E-2</v>
      </c>
    </row>
    <row r="15" spans="1:28" x14ac:dyDescent="0.3">
      <c r="A15" s="1" t="s">
        <v>13</v>
      </c>
      <c r="B15" s="4">
        <v>0.111</v>
      </c>
      <c r="C15" s="4">
        <v>0.111</v>
      </c>
      <c r="D15" s="4">
        <v>0.33300000000000002</v>
      </c>
      <c r="E15" s="4">
        <v>0.14299999999999999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0.33300000000000002</v>
      </c>
      <c r="L15" s="4">
        <v>1</v>
      </c>
      <c r="M15" s="4">
        <v>0.33300000000000002</v>
      </c>
      <c r="N15" s="4">
        <v>0.33300000000000002</v>
      </c>
      <c r="O15" s="4">
        <v>1</v>
      </c>
      <c r="P15" s="4">
        <v>1</v>
      </c>
      <c r="Q15" s="4">
        <v>0.14299999999999999</v>
      </c>
      <c r="R15" s="4">
        <v>1</v>
      </c>
      <c r="S15" s="4">
        <v>0.111</v>
      </c>
      <c r="T15" s="4">
        <v>0.5</v>
      </c>
      <c r="U15" s="4">
        <v>1</v>
      </c>
      <c r="V15" s="4">
        <v>1</v>
      </c>
      <c r="W15" s="4">
        <v>0.33300000000000002</v>
      </c>
      <c r="X15" s="4">
        <v>0.111</v>
      </c>
      <c r="Y15" s="4">
        <v>0.2</v>
      </c>
      <c r="Z15" s="12">
        <v>0.2</v>
      </c>
      <c r="AA15" s="13">
        <f t="shared" si="0"/>
        <v>14.295000000000002</v>
      </c>
      <c r="AB15" s="14">
        <f t="shared" si="1"/>
        <v>1.1851828514529372E-2</v>
      </c>
    </row>
    <row r="16" spans="1:28" x14ac:dyDescent="0.3">
      <c r="A16" s="1" t="s">
        <v>14</v>
      </c>
      <c r="B16" s="4">
        <v>0.111</v>
      </c>
      <c r="C16" s="4">
        <v>0.111</v>
      </c>
      <c r="D16" s="4">
        <v>0.33300000000000002</v>
      </c>
      <c r="E16" s="4">
        <v>0.14299999999999999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0.33300000000000002</v>
      </c>
      <c r="L16" s="4">
        <v>1</v>
      </c>
      <c r="M16" s="4">
        <v>0.33300000000000002</v>
      </c>
      <c r="N16" s="4">
        <v>0.33300000000000002</v>
      </c>
      <c r="O16" s="4">
        <v>1</v>
      </c>
      <c r="P16" s="4">
        <v>1</v>
      </c>
      <c r="Q16" s="4">
        <v>0.14299999999999999</v>
      </c>
      <c r="R16" s="4">
        <v>1</v>
      </c>
      <c r="S16" s="4">
        <v>0.111</v>
      </c>
      <c r="T16" s="4">
        <v>0.5</v>
      </c>
      <c r="U16" s="4">
        <v>1</v>
      </c>
      <c r="V16" s="4">
        <v>1</v>
      </c>
      <c r="W16" s="4">
        <v>0.33300000000000002</v>
      </c>
      <c r="X16" s="4">
        <v>0.111</v>
      </c>
      <c r="Y16" s="4">
        <v>0.2</v>
      </c>
      <c r="Z16" s="12">
        <v>0.2</v>
      </c>
      <c r="AA16" s="13">
        <f t="shared" si="0"/>
        <v>14.295000000000002</v>
      </c>
      <c r="AB16" s="14">
        <f t="shared" si="1"/>
        <v>1.1851828514529372E-2</v>
      </c>
    </row>
    <row r="17" spans="1:28" x14ac:dyDescent="0.3">
      <c r="A17" s="1" t="s">
        <v>15</v>
      </c>
      <c r="B17" s="4">
        <v>1</v>
      </c>
      <c r="C17" s="4">
        <v>1</v>
      </c>
      <c r="D17" s="4">
        <v>2</v>
      </c>
      <c r="E17" s="4">
        <v>1</v>
      </c>
      <c r="F17" s="4">
        <v>7</v>
      </c>
      <c r="G17" s="4">
        <v>5</v>
      </c>
      <c r="H17" s="4">
        <v>7</v>
      </c>
      <c r="I17" s="4">
        <v>7</v>
      </c>
      <c r="J17" s="4">
        <v>7</v>
      </c>
      <c r="K17" s="4">
        <v>3</v>
      </c>
      <c r="L17" s="4">
        <v>7</v>
      </c>
      <c r="M17" s="4">
        <v>3</v>
      </c>
      <c r="N17" s="4">
        <v>2</v>
      </c>
      <c r="O17" s="4">
        <v>7</v>
      </c>
      <c r="P17" s="4">
        <v>7</v>
      </c>
      <c r="Q17" s="4">
        <v>1</v>
      </c>
      <c r="R17" s="4">
        <v>7</v>
      </c>
      <c r="S17" s="4">
        <v>1</v>
      </c>
      <c r="T17" s="4">
        <v>3</v>
      </c>
      <c r="U17" s="4">
        <v>7</v>
      </c>
      <c r="V17" s="4">
        <v>7</v>
      </c>
      <c r="W17" s="4">
        <v>3</v>
      </c>
      <c r="X17" s="4">
        <v>1</v>
      </c>
      <c r="Y17" s="4">
        <v>1</v>
      </c>
      <c r="Z17" s="12">
        <v>1</v>
      </c>
      <c r="AA17" s="13">
        <f t="shared" si="0"/>
        <v>99</v>
      </c>
      <c r="AB17" s="14">
        <f t="shared" si="1"/>
        <v>8.207981972286868E-2</v>
      </c>
    </row>
    <row r="18" spans="1:28" x14ac:dyDescent="0.3">
      <c r="A18" s="1" t="s">
        <v>16</v>
      </c>
      <c r="B18" s="4">
        <v>0.111</v>
      </c>
      <c r="C18" s="4">
        <v>0.111</v>
      </c>
      <c r="D18" s="4">
        <v>0.33300000000000002</v>
      </c>
      <c r="E18" s="4">
        <v>0.14299999999999999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0.33300000000000002</v>
      </c>
      <c r="L18" s="4">
        <v>1</v>
      </c>
      <c r="M18" s="4">
        <v>0.33300000000000002</v>
      </c>
      <c r="N18" s="4">
        <v>0.33300000000000002</v>
      </c>
      <c r="O18" s="4">
        <v>1</v>
      </c>
      <c r="P18" s="4">
        <v>1</v>
      </c>
      <c r="Q18" s="4">
        <v>0.14299999999999999</v>
      </c>
      <c r="R18" s="4">
        <v>1</v>
      </c>
      <c r="S18" s="4">
        <v>0.14299999999999999</v>
      </c>
      <c r="T18" s="4">
        <v>0.5</v>
      </c>
      <c r="U18" s="4">
        <v>1</v>
      </c>
      <c r="V18" s="4">
        <v>1</v>
      </c>
      <c r="W18" s="4">
        <v>0.33300000000000002</v>
      </c>
      <c r="X18" s="4">
        <v>0.14299999999999999</v>
      </c>
      <c r="Y18" s="4">
        <v>0.2</v>
      </c>
      <c r="Z18" s="12">
        <v>0.2</v>
      </c>
      <c r="AA18" s="13">
        <f t="shared" si="0"/>
        <v>14.359000000000002</v>
      </c>
      <c r="AB18" s="14">
        <f t="shared" si="1"/>
        <v>1.1904890216168399E-2</v>
      </c>
    </row>
    <row r="19" spans="1:28" x14ac:dyDescent="0.3">
      <c r="A19" s="1" t="s">
        <v>18</v>
      </c>
      <c r="B19" s="4">
        <v>1</v>
      </c>
      <c r="C19" s="4">
        <v>1</v>
      </c>
      <c r="D19" s="4">
        <v>3</v>
      </c>
      <c r="E19" s="4">
        <v>1</v>
      </c>
      <c r="F19" s="4">
        <v>9</v>
      </c>
      <c r="G19" s="4">
        <v>7</v>
      </c>
      <c r="H19" s="4">
        <v>9</v>
      </c>
      <c r="I19" s="4">
        <v>9</v>
      </c>
      <c r="J19" s="4">
        <v>9</v>
      </c>
      <c r="K19" s="4">
        <v>3</v>
      </c>
      <c r="L19" s="4">
        <v>9</v>
      </c>
      <c r="M19" s="4">
        <v>3</v>
      </c>
      <c r="N19" s="4">
        <v>3</v>
      </c>
      <c r="O19" s="4">
        <v>9</v>
      </c>
      <c r="P19" s="4">
        <v>9</v>
      </c>
      <c r="Q19" s="4">
        <v>1</v>
      </c>
      <c r="R19" s="4">
        <v>9</v>
      </c>
      <c r="S19" s="4">
        <v>1</v>
      </c>
      <c r="T19" s="4">
        <v>3</v>
      </c>
      <c r="U19" s="4">
        <v>9</v>
      </c>
      <c r="V19" s="4">
        <v>9</v>
      </c>
      <c r="W19" s="4">
        <v>3</v>
      </c>
      <c r="X19" s="4">
        <v>1</v>
      </c>
      <c r="Y19" s="4">
        <v>1</v>
      </c>
      <c r="Z19" s="12">
        <v>1</v>
      </c>
      <c r="AA19" s="13">
        <f t="shared" si="0"/>
        <v>123</v>
      </c>
      <c r="AB19" s="14">
        <f t="shared" si="1"/>
        <v>0.10197795783750351</v>
      </c>
    </row>
    <row r="20" spans="1:28" x14ac:dyDescent="0.3">
      <c r="A20" s="1" t="s">
        <v>19</v>
      </c>
      <c r="B20" s="4">
        <v>0.111</v>
      </c>
      <c r="C20" s="4">
        <v>0.111</v>
      </c>
      <c r="D20" s="4">
        <v>0.33300000000000002</v>
      </c>
      <c r="E20" s="4">
        <v>0.14299999999999999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0.33300000000000002</v>
      </c>
      <c r="L20" s="4">
        <v>1</v>
      </c>
      <c r="M20" s="4">
        <v>0.33300000000000002</v>
      </c>
      <c r="N20" s="4">
        <v>0.33300000000000002</v>
      </c>
      <c r="O20" s="4">
        <v>1</v>
      </c>
      <c r="P20" s="4">
        <v>1</v>
      </c>
      <c r="Q20" s="4">
        <v>0.14299999999999999</v>
      </c>
      <c r="R20" s="4">
        <v>1</v>
      </c>
      <c r="S20" s="4">
        <v>0.111</v>
      </c>
      <c r="T20" s="4">
        <v>0.5</v>
      </c>
      <c r="U20" s="4">
        <v>1</v>
      </c>
      <c r="V20" s="4">
        <v>1</v>
      </c>
      <c r="W20" s="4">
        <v>0.33300000000000002</v>
      </c>
      <c r="X20" s="4">
        <v>0.111</v>
      </c>
      <c r="Y20" s="4">
        <v>0.2</v>
      </c>
      <c r="Z20" s="12">
        <v>0.2</v>
      </c>
      <c r="AA20" s="13">
        <f t="shared" si="0"/>
        <v>14.295000000000002</v>
      </c>
      <c r="AB20" s="14">
        <f t="shared" si="1"/>
        <v>1.1851828514529372E-2</v>
      </c>
    </row>
    <row r="21" spans="1:28" x14ac:dyDescent="0.3">
      <c r="A21" s="1" t="s">
        <v>20</v>
      </c>
      <c r="B21" s="4">
        <v>0.111</v>
      </c>
      <c r="C21" s="4">
        <v>0.111</v>
      </c>
      <c r="D21" s="4">
        <v>0.33300000000000002</v>
      </c>
      <c r="E21" s="4">
        <v>0.14299999999999999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0.33300000000000002</v>
      </c>
      <c r="L21" s="4">
        <v>1</v>
      </c>
      <c r="M21" s="4">
        <v>0.33300000000000002</v>
      </c>
      <c r="N21" s="4">
        <v>0.33300000000000002</v>
      </c>
      <c r="O21" s="4">
        <v>1</v>
      </c>
      <c r="P21" s="4">
        <v>1</v>
      </c>
      <c r="Q21" s="4">
        <v>0.14299999999999999</v>
      </c>
      <c r="R21" s="4">
        <v>1</v>
      </c>
      <c r="S21" s="4">
        <v>0.111</v>
      </c>
      <c r="T21" s="4">
        <v>0.5</v>
      </c>
      <c r="U21" s="4">
        <v>1</v>
      </c>
      <c r="V21" s="4">
        <v>1</v>
      </c>
      <c r="W21" s="4">
        <v>0.33300000000000002</v>
      </c>
      <c r="X21" s="4">
        <v>0.111</v>
      </c>
      <c r="Y21" s="4">
        <v>0.2</v>
      </c>
      <c r="Z21" s="12">
        <v>0.2</v>
      </c>
      <c r="AA21" s="13">
        <f t="shared" si="0"/>
        <v>14.295000000000002</v>
      </c>
      <c r="AB21" s="14">
        <f t="shared" si="1"/>
        <v>1.1851828514529372E-2</v>
      </c>
    </row>
    <row r="22" spans="1:28" x14ac:dyDescent="0.3">
      <c r="A22" s="1" t="s">
        <v>21</v>
      </c>
      <c r="B22" s="4">
        <v>0.33300000000000002</v>
      </c>
      <c r="C22" s="4">
        <v>0.33300000000000002</v>
      </c>
      <c r="D22" s="4">
        <v>1</v>
      </c>
      <c r="E22" s="4">
        <v>0.33300000000000002</v>
      </c>
      <c r="F22" s="4">
        <v>3</v>
      </c>
      <c r="G22" s="4">
        <v>2</v>
      </c>
      <c r="H22" s="4">
        <v>3</v>
      </c>
      <c r="I22" s="4">
        <v>3</v>
      </c>
      <c r="J22" s="4">
        <v>3</v>
      </c>
      <c r="K22" s="4">
        <v>1</v>
      </c>
      <c r="L22" s="4">
        <v>3</v>
      </c>
      <c r="M22" s="4">
        <v>1</v>
      </c>
      <c r="N22" s="4">
        <v>1</v>
      </c>
      <c r="O22" s="4">
        <v>3</v>
      </c>
      <c r="P22" s="4">
        <v>3</v>
      </c>
      <c r="Q22" s="4">
        <v>0.33300000000000002</v>
      </c>
      <c r="R22" s="4">
        <v>3</v>
      </c>
      <c r="S22" s="4">
        <v>0.33300000000000002</v>
      </c>
      <c r="T22" s="4">
        <v>1</v>
      </c>
      <c r="U22" s="4">
        <v>3</v>
      </c>
      <c r="V22" s="4">
        <v>3</v>
      </c>
      <c r="W22" s="4">
        <v>1</v>
      </c>
      <c r="X22" s="4">
        <v>0.33300000000000002</v>
      </c>
      <c r="Y22" s="4">
        <v>0.5</v>
      </c>
      <c r="Z22" s="12">
        <v>0.5</v>
      </c>
      <c r="AA22" s="13">
        <f t="shared" si="0"/>
        <v>40.99799999999999</v>
      </c>
      <c r="AB22" s="14">
        <f t="shared" si="1"/>
        <v>3.3990994434324941E-2</v>
      </c>
    </row>
    <row r="23" spans="1:28" x14ac:dyDescent="0.3">
      <c r="A23" s="1" t="s">
        <v>22</v>
      </c>
      <c r="B23" s="4">
        <v>1</v>
      </c>
      <c r="C23" s="4">
        <v>1</v>
      </c>
      <c r="D23" s="4">
        <v>3</v>
      </c>
      <c r="E23" s="4">
        <v>1</v>
      </c>
      <c r="F23" s="4">
        <v>9</v>
      </c>
      <c r="G23" s="4">
        <v>7</v>
      </c>
      <c r="H23" s="4">
        <v>9</v>
      </c>
      <c r="I23" s="4">
        <v>9</v>
      </c>
      <c r="J23" s="4">
        <v>9</v>
      </c>
      <c r="K23" s="4">
        <v>3</v>
      </c>
      <c r="L23" s="4">
        <v>9</v>
      </c>
      <c r="M23" s="4">
        <v>3</v>
      </c>
      <c r="N23" s="4">
        <v>3</v>
      </c>
      <c r="O23" s="4">
        <v>9</v>
      </c>
      <c r="P23" s="4">
        <v>9</v>
      </c>
      <c r="Q23" s="4">
        <v>1</v>
      </c>
      <c r="R23" s="4">
        <v>7</v>
      </c>
      <c r="S23" s="4">
        <v>1</v>
      </c>
      <c r="T23" s="4">
        <v>3</v>
      </c>
      <c r="U23" s="4">
        <v>9</v>
      </c>
      <c r="V23" s="4">
        <v>9</v>
      </c>
      <c r="W23" s="4">
        <v>3</v>
      </c>
      <c r="X23" s="4">
        <v>1</v>
      </c>
      <c r="Y23" s="4">
        <v>1</v>
      </c>
      <c r="Z23" s="12">
        <v>1</v>
      </c>
      <c r="AA23" s="13">
        <f t="shared" si="0"/>
        <v>121</v>
      </c>
      <c r="AB23" s="14">
        <f t="shared" si="1"/>
        <v>0.10031977966128394</v>
      </c>
    </row>
    <row r="24" spans="1:28" x14ac:dyDescent="0.3">
      <c r="A24" s="1" t="s">
        <v>23</v>
      </c>
      <c r="B24" s="4">
        <v>1</v>
      </c>
      <c r="C24" s="4">
        <v>1</v>
      </c>
      <c r="D24" s="4">
        <v>2</v>
      </c>
      <c r="E24" s="4">
        <v>1</v>
      </c>
      <c r="F24" s="4">
        <v>5</v>
      </c>
      <c r="G24" s="4">
        <v>3</v>
      </c>
      <c r="H24" s="4">
        <v>5</v>
      </c>
      <c r="I24" s="4">
        <v>5</v>
      </c>
      <c r="J24" s="4">
        <v>5</v>
      </c>
      <c r="K24" s="4">
        <v>2</v>
      </c>
      <c r="L24" s="4">
        <v>5</v>
      </c>
      <c r="M24" s="4">
        <v>2</v>
      </c>
      <c r="N24" s="4">
        <v>2</v>
      </c>
      <c r="O24" s="4">
        <v>5</v>
      </c>
      <c r="P24" s="4">
        <v>5</v>
      </c>
      <c r="Q24" s="4">
        <v>1</v>
      </c>
      <c r="R24" s="4">
        <v>5</v>
      </c>
      <c r="S24" s="4">
        <v>1</v>
      </c>
      <c r="T24" s="4">
        <v>3</v>
      </c>
      <c r="U24" s="4">
        <v>5</v>
      </c>
      <c r="V24" s="4">
        <v>5</v>
      </c>
      <c r="W24" s="4">
        <v>2</v>
      </c>
      <c r="X24" s="4">
        <v>1</v>
      </c>
      <c r="Y24" s="4">
        <v>1</v>
      </c>
      <c r="Z24" s="12">
        <v>1</v>
      </c>
      <c r="AA24" s="13">
        <f t="shared" si="0"/>
        <v>74</v>
      </c>
      <c r="AB24" s="14">
        <f t="shared" si="1"/>
        <v>6.1352592520124066E-2</v>
      </c>
    </row>
    <row r="25" spans="1:28" x14ac:dyDescent="0.3">
      <c r="A25" s="1" t="s">
        <v>24</v>
      </c>
      <c r="B25" s="4">
        <v>1</v>
      </c>
      <c r="C25" s="4">
        <v>1</v>
      </c>
      <c r="D25" s="4">
        <v>2</v>
      </c>
      <c r="E25" s="4">
        <v>1</v>
      </c>
      <c r="F25" s="4">
        <v>5</v>
      </c>
      <c r="G25" s="4">
        <v>3</v>
      </c>
      <c r="H25" s="4">
        <v>5</v>
      </c>
      <c r="I25" s="4">
        <v>5</v>
      </c>
      <c r="J25" s="4">
        <v>5</v>
      </c>
      <c r="K25" s="4">
        <v>2</v>
      </c>
      <c r="L25" s="4">
        <v>5</v>
      </c>
      <c r="M25" s="4">
        <v>2</v>
      </c>
      <c r="N25" s="4">
        <v>2</v>
      </c>
      <c r="O25" s="4">
        <v>5</v>
      </c>
      <c r="P25" s="4">
        <v>5</v>
      </c>
      <c r="Q25" s="4">
        <v>1</v>
      </c>
      <c r="R25" s="4">
        <v>5</v>
      </c>
      <c r="S25" s="4">
        <v>1</v>
      </c>
      <c r="T25" s="4">
        <v>3</v>
      </c>
      <c r="U25" s="4">
        <v>5</v>
      </c>
      <c r="V25" s="4">
        <v>5</v>
      </c>
      <c r="W25" s="4">
        <v>2</v>
      </c>
      <c r="X25" s="4">
        <v>1</v>
      </c>
      <c r="Y25" s="4">
        <v>1</v>
      </c>
      <c r="Z25" s="12">
        <v>1</v>
      </c>
      <c r="AA25" s="13">
        <f t="shared" si="0"/>
        <v>74</v>
      </c>
      <c r="AB25" s="14">
        <f t="shared" si="1"/>
        <v>6.1352592520124066E-2</v>
      </c>
    </row>
    <row r="26" spans="1:28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3">
        <f>SUM(AA2:AA25)</f>
        <v>1206.143</v>
      </c>
      <c r="AB26" s="14">
        <f>SUM(AB2:AB25)</f>
        <v>0.99999999999999989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87705-575C-4ACB-A3EC-F2B50C9DC16A}">
  <dimension ref="A1:AB27"/>
  <sheetViews>
    <sheetView topLeftCell="G1" workbookViewId="0">
      <selection activeCell="AB2" sqref="AB2:AB26"/>
    </sheetView>
  </sheetViews>
  <sheetFormatPr defaultRowHeight="14.4" x14ac:dyDescent="0.3"/>
  <cols>
    <col min="27" max="27" width="14.6640625" customWidth="1"/>
    <col min="28" max="28" width="11.21875" customWidth="1"/>
  </cols>
  <sheetData>
    <row r="1" spans="1:28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9" t="s">
        <v>24</v>
      </c>
      <c r="AA1" s="2" t="s">
        <v>25</v>
      </c>
      <c r="AB1" s="3" t="s">
        <v>26</v>
      </c>
    </row>
    <row r="2" spans="1:28" x14ac:dyDescent="0.3">
      <c r="A2" s="1" t="s">
        <v>0</v>
      </c>
      <c r="B2" s="4">
        <v>1</v>
      </c>
      <c r="C2" s="4">
        <v>1</v>
      </c>
      <c r="D2" s="4">
        <v>3</v>
      </c>
      <c r="E2" s="4">
        <v>3</v>
      </c>
      <c r="F2" s="4">
        <v>0.111</v>
      </c>
      <c r="G2" s="4">
        <v>0.2</v>
      </c>
      <c r="H2" s="4">
        <v>0.33300000000000002</v>
      </c>
      <c r="I2" s="4">
        <v>0.33300000000000002</v>
      </c>
      <c r="J2" s="4">
        <v>0.33300000000000002</v>
      </c>
      <c r="K2" s="4">
        <v>0.5</v>
      </c>
      <c r="L2" s="4">
        <v>0.33300000000000002</v>
      </c>
      <c r="M2" s="4">
        <v>0.5</v>
      </c>
      <c r="N2" s="4">
        <v>0.5</v>
      </c>
      <c r="O2" s="4">
        <v>1</v>
      </c>
      <c r="P2" s="4">
        <v>0.111</v>
      </c>
      <c r="Q2" s="4">
        <v>3</v>
      </c>
      <c r="R2" s="4">
        <v>3</v>
      </c>
      <c r="S2" s="4">
        <v>3</v>
      </c>
      <c r="T2" s="4">
        <v>3</v>
      </c>
      <c r="U2" s="4">
        <v>3</v>
      </c>
      <c r="V2" s="4">
        <v>3</v>
      </c>
      <c r="W2" s="4">
        <v>1</v>
      </c>
      <c r="X2" s="4">
        <v>0.33300000000000002</v>
      </c>
      <c r="Y2" s="4">
        <v>3</v>
      </c>
      <c r="Z2" s="12">
        <v>0.33300000000000002</v>
      </c>
      <c r="AA2" s="5">
        <f>SUM(B2:Z2)</f>
        <v>34.92</v>
      </c>
      <c r="AB2" s="6">
        <f>AA2/$AA$27</f>
        <v>3.5114781694056935E-2</v>
      </c>
    </row>
    <row r="3" spans="1:28" x14ac:dyDescent="0.3">
      <c r="A3" s="1" t="s">
        <v>1</v>
      </c>
      <c r="B3" s="4">
        <v>1</v>
      </c>
      <c r="C3" s="4">
        <v>1</v>
      </c>
      <c r="D3" s="4">
        <v>3</v>
      </c>
      <c r="E3" s="4">
        <v>3</v>
      </c>
      <c r="F3" s="4">
        <v>0.111</v>
      </c>
      <c r="G3" s="4">
        <v>0.2</v>
      </c>
      <c r="H3" s="4">
        <v>0.33300000000000002</v>
      </c>
      <c r="I3" s="4">
        <v>0.33300000000000002</v>
      </c>
      <c r="J3" s="4">
        <v>0.33300000000000002</v>
      </c>
      <c r="K3" s="4">
        <v>0.5</v>
      </c>
      <c r="L3" s="4">
        <v>0.33300000000000002</v>
      </c>
      <c r="M3" s="4">
        <v>0.5</v>
      </c>
      <c r="N3" s="4">
        <v>0.5</v>
      </c>
      <c r="O3" s="4">
        <v>1</v>
      </c>
      <c r="P3" s="4">
        <v>0.111</v>
      </c>
      <c r="Q3" s="4">
        <v>3</v>
      </c>
      <c r="R3" s="4">
        <v>3</v>
      </c>
      <c r="S3" s="4">
        <v>3</v>
      </c>
      <c r="T3" s="4">
        <v>3</v>
      </c>
      <c r="U3" s="4">
        <v>3</v>
      </c>
      <c r="V3" s="4">
        <v>3</v>
      </c>
      <c r="W3" s="4">
        <v>1</v>
      </c>
      <c r="X3" s="4">
        <v>0.33300000000000002</v>
      </c>
      <c r="Y3" s="4">
        <v>3</v>
      </c>
      <c r="Z3" s="12">
        <v>0.33300000000000002</v>
      </c>
      <c r="AA3" s="5">
        <f t="shared" ref="AA3:AA26" si="0">SUM(B3:Z3)</f>
        <v>34.92</v>
      </c>
      <c r="AB3" s="6">
        <f t="shared" ref="AB3:AB26" si="1">AA3/$AA$27</f>
        <v>3.5114781694056935E-2</v>
      </c>
    </row>
    <row r="4" spans="1:28" x14ac:dyDescent="0.3">
      <c r="A4" s="1" t="s">
        <v>2</v>
      </c>
      <c r="B4" s="4">
        <v>0.33300000000000002</v>
      </c>
      <c r="C4" s="4">
        <v>0.33300000000000002</v>
      </c>
      <c r="D4" s="4">
        <v>1</v>
      </c>
      <c r="E4" s="4">
        <v>1</v>
      </c>
      <c r="F4" s="4">
        <v>0.2</v>
      </c>
      <c r="G4" s="4">
        <v>0.33300000000000002</v>
      </c>
      <c r="H4" s="4">
        <v>0.5</v>
      </c>
      <c r="I4" s="4">
        <v>0.5</v>
      </c>
      <c r="J4" s="4">
        <v>0.5</v>
      </c>
      <c r="K4" s="4">
        <v>1</v>
      </c>
      <c r="L4" s="4">
        <v>0.5</v>
      </c>
      <c r="M4" s="4">
        <v>1</v>
      </c>
      <c r="N4" s="4">
        <v>1</v>
      </c>
      <c r="O4" s="4">
        <v>3</v>
      </c>
      <c r="P4" s="4">
        <v>0.2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0.33300000000000002</v>
      </c>
      <c r="X4" s="4">
        <v>0.5</v>
      </c>
      <c r="Y4" s="4">
        <v>1</v>
      </c>
      <c r="Z4" s="12">
        <v>0.5</v>
      </c>
      <c r="AA4" s="5">
        <f t="shared" si="0"/>
        <v>19.731999999999999</v>
      </c>
      <c r="AB4" s="6">
        <f t="shared" si="1"/>
        <v>1.984206392861201E-2</v>
      </c>
    </row>
    <row r="5" spans="1:28" x14ac:dyDescent="0.3">
      <c r="A5" s="1" t="s">
        <v>3</v>
      </c>
      <c r="B5" s="4">
        <v>0.33300000000000002</v>
      </c>
      <c r="C5" s="4">
        <v>0.33300000000000002</v>
      </c>
      <c r="D5" s="4">
        <v>1</v>
      </c>
      <c r="E5" s="4">
        <v>1</v>
      </c>
      <c r="F5" s="4">
        <v>0.2</v>
      </c>
      <c r="G5" s="4">
        <v>0.33300000000000002</v>
      </c>
      <c r="H5" s="4">
        <v>0.5</v>
      </c>
      <c r="I5" s="4">
        <v>0.5</v>
      </c>
      <c r="J5" s="4">
        <v>0.5</v>
      </c>
      <c r="K5" s="4">
        <v>1</v>
      </c>
      <c r="L5" s="4">
        <v>0.5</v>
      </c>
      <c r="M5" s="4">
        <v>1</v>
      </c>
      <c r="N5" s="4">
        <v>1</v>
      </c>
      <c r="O5" s="4">
        <v>3</v>
      </c>
      <c r="P5" s="4">
        <v>0.2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0.33300000000000002</v>
      </c>
      <c r="X5" s="4">
        <v>0.5</v>
      </c>
      <c r="Y5" s="4">
        <v>1</v>
      </c>
      <c r="Z5" s="12">
        <v>0.5</v>
      </c>
      <c r="AA5" s="5">
        <f t="shared" si="0"/>
        <v>19.731999999999999</v>
      </c>
      <c r="AB5" s="6">
        <f t="shared" si="1"/>
        <v>1.984206392861201E-2</v>
      </c>
    </row>
    <row r="6" spans="1:28" x14ac:dyDescent="0.3">
      <c r="A6" s="1" t="s">
        <v>4</v>
      </c>
      <c r="B6" s="4">
        <v>9</v>
      </c>
      <c r="C6" s="4">
        <v>9</v>
      </c>
      <c r="D6" s="4">
        <v>5</v>
      </c>
      <c r="E6" s="4">
        <v>5</v>
      </c>
      <c r="F6" s="4">
        <v>1</v>
      </c>
      <c r="G6" s="4">
        <v>3</v>
      </c>
      <c r="H6" s="4">
        <v>5</v>
      </c>
      <c r="I6" s="4">
        <v>5</v>
      </c>
      <c r="J6" s="4">
        <v>5</v>
      </c>
      <c r="K6" s="4">
        <v>7</v>
      </c>
      <c r="L6" s="4">
        <v>5</v>
      </c>
      <c r="M6" s="4">
        <v>7</v>
      </c>
      <c r="N6" s="4">
        <v>7</v>
      </c>
      <c r="O6" s="4">
        <v>9</v>
      </c>
      <c r="P6" s="4">
        <v>1</v>
      </c>
      <c r="Q6" s="4">
        <v>5</v>
      </c>
      <c r="R6" s="4">
        <v>5</v>
      </c>
      <c r="S6" s="4">
        <v>5</v>
      </c>
      <c r="T6" s="4">
        <v>5</v>
      </c>
      <c r="U6" s="4">
        <v>5</v>
      </c>
      <c r="V6" s="4">
        <v>5</v>
      </c>
      <c r="W6" s="4">
        <v>9</v>
      </c>
      <c r="X6" s="4">
        <v>3</v>
      </c>
      <c r="Y6" s="4">
        <v>5</v>
      </c>
      <c r="Z6" s="12">
        <v>3</v>
      </c>
      <c r="AA6" s="5">
        <f t="shared" si="0"/>
        <v>133</v>
      </c>
      <c r="AB6" s="6">
        <f t="shared" si="1"/>
        <v>0.13374186613143105</v>
      </c>
    </row>
    <row r="7" spans="1:28" x14ac:dyDescent="0.3">
      <c r="A7" s="1" t="s">
        <v>5</v>
      </c>
      <c r="B7" s="4">
        <v>5</v>
      </c>
      <c r="C7" s="4">
        <v>5</v>
      </c>
      <c r="D7" s="4">
        <v>3</v>
      </c>
      <c r="E7" s="4">
        <v>3</v>
      </c>
      <c r="F7" s="4">
        <v>0.33300000000000002</v>
      </c>
      <c r="G7" s="4">
        <v>1</v>
      </c>
      <c r="H7" s="4">
        <v>3</v>
      </c>
      <c r="I7" s="4">
        <v>3</v>
      </c>
      <c r="J7" s="4">
        <v>3</v>
      </c>
      <c r="K7" s="4">
        <v>3</v>
      </c>
      <c r="L7" s="4">
        <v>3</v>
      </c>
      <c r="M7" s="4">
        <v>3</v>
      </c>
      <c r="N7" s="4">
        <v>3</v>
      </c>
      <c r="O7" s="4">
        <v>5</v>
      </c>
      <c r="P7" s="4">
        <v>0.33300000000000002</v>
      </c>
      <c r="Q7" s="4">
        <v>3</v>
      </c>
      <c r="R7" s="4">
        <v>3</v>
      </c>
      <c r="S7" s="4">
        <v>3</v>
      </c>
      <c r="T7" s="4">
        <v>3</v>
      </c>
      <c r="U7" s="4">
        <v>3</v>
      </c>
      <c r="V7" s="4">
        <v>3</v>
      </c>
      <c r="W7" s="4">
        <v>5</v>
      </c>
      <c r="X7" s="4">
        <v>1</v>
      </c>
      <c r="Y7" s="4">
        <v>3</v>
      </c>
      <c r="Z7" s="12">
        <v>1</v>
      </c>
      <c r="AA7" s="5">
        <f t="shared" si="0"/>
        <v>71.665999999999997</v>
      </c>
      <c r="AB7" s="6">
        <f t="shared" si="1"/>
        <v>7.2065748708083743E-2</v>
      </c>
    </row>
    <row r="8" spans="1:28" x14ac:dyDescent="0.3">
      <c r="A8" s="1" t="s">
        <v>6</v>
      </c>
      <c r="B8" s="4">
        <v>3</v>
      </c>
      <c r="C8" s="4">
        <v>3</v>
      </c>
      <c r="D8" s="4">
        <v>2</v>
      </c>
      <c r="E8" s="4">
        <v>2</v>
      </c>
      <c r="F8" s="4">
        <v>0.2</v>
      </c>
      <c r="G8" s="4">
        <v>0.33300000000000002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3</v>
      </c>
      <c r="P8" s="4">
        <v>0.2</v>
      </c>
      <c r="Q8" s="4">
        <v>2</v>
      </c>
      <c r="R8" s="4">
        <v>2</v>
      </c>
      <c r="S8" s="4">
        <v>2</v>
      </c>
      <c r="T8" s="4">
        <v>2</v>
      </c>
      <c r="U8" s="4">
        <v>2</v>
      </c>
      <c r="V8" s="4">
        <v>2</v>
      </c>
      <c r="W8" s="4">
        <v>3</v>
      </c>
      <c r="X8" s="4">
        <v>0.5</v>
      </c>
      <c r="Y8" s="4">
        <v>2</v>
      </c>
      <c r="Z8" s="12">
        <v>0.5</v>
      </c>
      <c r="AA8" s="5">
        <f t="shared" si="0"/>
        <v>38.733000000000004</v>
      </c>
      <c r="AB8" s="6">
        <f t="shared" si="1"/>
        <v>3.8949050382471574E-2</v>
      </c>
    </row>
    <row r="9" spans="1:28" x14ac:dyDescent="0.3">
      <c r="A9" s="1" t="s">
        <v>7</v>
      </c>
      <c r="B9" s="4">
        <v>3</v>
      </c>
      <c r="C9" s="4">
        <v>3</v>
      </c>
      <c r="D9" s="4">
        <v>2</v>
      </c>
      <c r="E9" s="4">
        <v>2</v>
      </c>
      <c r="F9" s="4">
        <v>0.2</v>
      </c>
      <c r="G9" s="4">
        <v>0.33300000000000002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3</v>
      </c>
      <c r="P9" s="4">
        <v>0.2</v>
      </c>
      <c r="Q9" s="4">
        <v>2</v>
      </c>
      <c r="R9" s="4">
        <v>2</v>
      </c>
      <c r="S9" s="4">
        <v>2</v>
      </c>
      <c r="T9" s="4">
        <v>2</v>
      </c>
      <c r="U9" s="4">
        <v>2</v>
      </c>
      <c r="V9" s="4">
        <v>2</v>
      </c>
      <c r="W9" s="4">
        <v>3</v>
      </c>
      <c r="X9" s="4">
        <v>0.5</v>
      </c>
      <c r="Y9" s="4">
        <v>2</v>
      </c>
      <c r="Z9" s="12">
        <v>0.5</v>
      </c>
      <c r="AA9" s="5">
        <f t="shared" si="0"/>
        <v>38.733000000000004</v>
      </c>
      <c r="AB9" s="6">
        <f t="shared" si="1"/>
        <v>3.8949050382471574E-2</v>
      </c>
    </row>
    <row r="10" spans="1:28" x14ac:dyDescent="0.3">
      <c r="A10" s="1" t="s">
        <v>8</v>
      </c>
      <c r="B10" s="4">
        <v>3</v>
      </c>
      <c r="C10" s="4">
        <v>3</v>
      </c>
      <c r="D10" s="4">
        <v>2</v>
      </c>
      <c r="E10" s="4">
        <v>2</v>
      </c>
      <c r="F10" s="4">
        <v>0.2</v>
      </c>
      <c r="G10" s="4">
        <v>0.33300000000000002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3</v>
      </c>
      <c r="P10" s="4">
        <v>0.2</v>
      </c>
      <c r="Q10" s="4">
        <v>2</v>
      </c>
      <c r="R10" s="4">
        <v>2</v>
      </c>
      <c r="S10" s="4">
        <v>2</v>
      </c>
      <c r="T10" s="4">
        <v>2</v>
      </c>
      <c r="U10" s="4">
        <v>2</v>
      </c>
      <c r="V10" s="4">
        <v>2</v>
      </c>
      <c r="W10" s="4">
        <v>3</v>
      </c>
      <c r="X10" s="4">
        <v>0.5</v>
      </c>
      <c r="Y10" s="4">
        <v>2</v>
      </c>
      <c r="Z10" s="12">
        <v>0.5</v>
      </c>
      <c r="AA10" s="5">
        <f t="shared" si="0"/>
        <v>38.733000000000004</v>
      </c>
      <c r="AB10" s="6">
        <f t="shared" si="1"/>
        <v>3.8949050382471574E-2</v>
      </c>
    </row>
    <row r="11" spans="1:28" x14ac:dyDescent="0.3">
      <c r="A11" s="1" t="s">
        <v>9</v>
      </c>
      <c r="B11" s="4">
        <v>1</v>
      </c>
      <c r="C11" s="4">
        <v>1</v>
      </c>
      <c r="D11" s="4">
        <v>1</v>
      </c>
      <c r="E11" s="4">
        <v>1</v>
      </c>
      <c r="F11" s="4">
        <v>0.14299999999999999</v>
      </c>
      <c r="G11" s="4">
        <v>0.33300000000000002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0.14299999999999999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0.33300000000000002</v>
      </c>
      <c r="Y11" s="4">
        <v>1</v>
      </c>
      <c r="Z11" s="12">
        <v>0.33300000000000002</v>
      </c>
      <c r="AA11" s="5">
        <f t="shared" si="0"/>
        <v>21.284999999999997</v>
      </c>
      <c r="AB11" s="6">
        <f t="shared" si="1"/>
        <v>2.1403726470733155E-2</v>
      </c>
    </row>
    <row r="12" spans="1:28" x14ac:dyDescent="0.3">
      <c r="A12" s="1" t="s">
        <v>10</v>
      </c>
      <c r="B12" s="4">
        <v>3</v>
      </c>
      <c r="C12" s="4">
        <v>3</v>
      </c>
      <c r="D12" s="4">
        <v>2</v>
      </c>
      <c r="E12" s="4">
        <v>2</v>
      </c>
      <c r="F12" s="4">
        <v>0.2</v>
      </c>
      <c r="G12" s="4">
        <v>0.33300000000000002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3</v>
      </c>
      <c r="P12" s="4">
        <v>0.2</v>
      </c>
      <c r="Q12" s="4">
        <v>2</v>
      </c>
      <c r="R12" s="4">
        <v>2</v>
      </c>
      <c r="S12" s="4">
        <v>2</v>
      </c>
      <c r="T12" s="4">
        <v>2</v>
      </c>
      <c r="U12" s="4">
        <v>2</v>
      </c>
      <c r="V12" s="4">
        <v>2</v>
      </c>
      <c r="W12" s="4">
        <v>3</v>
      </c>
      <c r="X12" s="4">
        <v>0.5</v>
      </c>
      <c r="Y12" s="4">
        <v>2</v>
      </c>
      <c r="Z12" s="12">
        <v>0.5</v>
      </c>
      <c r="AA12" s="5">
        <f t="shared" si="0"/>
        <v>38.733000000000004</v>
      </c>
      <c r="AB12" s="6">
        <f t="shared" si="1"/>
        <v>3.8949050382471574E-2</v>
      </c>
    </row>
    <row r="13" spans="1:28" x14ac:dyDescent="0.3">
      <c r="A13" s="1" t="s">
        <v>11</v>
      </c>
      <c r="B13" s="4">
        <v>1</v>
      </c>
      <c r="C13" s="4">
        <v>1</v>
      </c>
      <c r="D13" s="4">
        <v>1</v>
      </c>
      <c r="E13" s="4">
        <v>1</v>
      </c>
      <c r="F13" s="4">
        <v>0.14299999999999999</v>
      </c>
      <c r="G13" s="4">
        <v>0.33300000000000002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0.14299999999999999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0.33300000000000002</v>
      </c>
      <c r="Y13" s="4">
        <v>1</v>
      </c>
      <c r="Z13" s="12">
        <v>0.33300000000000002</v>
      </c>
      <c r="AA13" s="5">
        <f t="shared" si="0"/>
        <v>21.284999999999997</v>
      </c>
      <c r="AB13" s="6">
        <f t="shared" si="1"/>
        <v>2.1403726470733155E-2</v>
      </c>
    </row>
    <row r="14" spans="1:28" x14ac:dyDescent="0.3">
      <c r="A14" s="1" t="s">
        <v>12</v>
      </c>
      <c r="B14" s="4">
        <v>1</v>
      </c>
      <c r="C14" s="4">
        <v>1</v>
      </c>
      <c r="D14" s="4">
        <v>1</v>
      </c>
      <c r="E14" s="4">
        <v>1</v>
      </c>
      <c r="F14" s="4">
        <v>0.14299999999999999</v>
      </c>
      <c r="G14" s="4">
        <v>0.33300000000000002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0.14299999999999999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  <c r="X14" s="4">
        <v>0.33300000000000002</v>
      </c>
      <c r="Y14" s="4">
        <v>1</v>
      </c>
      <c r="Z14" s="12">
        <v>0.33300000000000002</v>
      </c>
      <c r="AA14" s="5">
        <f t="shared" si="0"/>
        <v>21.284999999999997</v>
      </c>
      <c r="AB14" s="6">
        <f t="shared" si="1"/>
        <v>2.1403726470733155E-2</v>
      </c>
    </row>
    <row r="15" spans="1:28" x14ac:dyDescent="0.3">
      <c r="A15" s="1" t="s">
        <v>13</v>
      </c>
      <c r="B15" s="4">
        <v>1</v>
      </c>
      <c r="C15" s="4">
        <v>1</v>
      </c>
      <c r="D15" s="4">
        <v>0.33300000000000002</v>
      </c>
      <c r="E15" s="4">
        <v>0.33300000000000002</v>
      </c>
      <c r="F15" s="4">
        <v>0.111</v>
      </c>
      <c r="G15" s="4">
        <v>0.2</v>
      </c>
      <c r="H15" s="4">
        <v>0.33300000000000002</v>
      </c>
      <c r="I15" s="4">
        <v>0.33300000000000002</v>
      </c>
      <c r="J15" s="4">
        <v>0.33300000000000002</v>
      </c>
      <c r="K15" s="4">
        <v>0.5</v>
      </c>
      <c r="L15" s="4">
        <v>0.33300000000000002</v>
      </c>
      <c r="M15" s="4">
        <v>0.5</v>
      </c>
      <c r="N15" s="4">
        <v>0.5</v>
      </c>
      <c r="O15" s="4">
        <v>1</v>
      </c>
      <c r="P15" s="4">
        <v>0.111</v>
      </c>
      <c r="Q15" s="4">
        <v>0.33300000000000002</v>
      </c>
      <c r="R15" s="4">
        <v>0.33300000000000002</v>
      </c>
      <c r="S15" s="4">
        <v>0.33300000000000002</v>
      </c>
      <c r="T15" s="4">
        <v>0.33300000000000002</v>
      </c>
      <c r="U15" s="4">
        <v>0.33300000000000002</v>
      </c>
      <c r="V15" s="4">
        <v>0.33300000000000002</v>
      </c>
      <c r="W15" s="4">
        <v>1</v>
      </c>
      <c r="X15" s="4">
        <v>0.2</v>
      </c>
      <c r="Y15" s="4">
        <v>0.33300000000000002</v>
      </c>
      <c r="Z15" s="12">
        <v>0.2</v>
      </c>
      <c r="AA15" s="5">
        <f t="shared" si="0"/>
        <v>10.651</v>
      </c>
      <c r="AB15" s="6">
        <f t="shared" si="1"/>
        <v>1.07104106478637E-2</v>
      </c>
    </row>
    <row r="16" spans="1:28" x14ac:dyDescent="0.3">
      <c r="A16" s="1" t="s">
        <v>14</v>
      </c>
      <c r="B16" s="4">
        <v>9</v>
      </c>
      <c r="C16" s="4">
        <v>9</v>
      </c>
      <c r="D16" s="4">
        <v>5</v>
      </c>
      <c r="E16" s="4">
        <v>5</v>
      </c>
      <c r="F16" s="4">
        <v>1</v>
      </c>
      <c r="G16" s="4">
        <v>3</v>
      </c>
      <c r="H16" s="4">
        <v>5</v>
      </c>
      <c r="I16" s="4">
        <v>5</v>
      </c>
      <c r="J16" s="4">
        <v>5</v>
      </c>
      <c r="K16" s="4">
        <v>7</v>
      </c>
      <c r="L16" s="4">
        <v>5</v>
      </c>
      <c r="M16" s="4">
        <v>7</v>
      </c>
      <c r="N16" s="4">
        <v>7</v>
      </c>
      <c r="O16" s="4">
        <v>9</v>
      </c>
      <c r="P16" s="4">
        <v>1</v>
      </c>
      <c r="Q16" s="4">
        <v>5</v>
      </c>
      <c r="R16" s="4">
        <v>5</v>
      </c>
      <c r="S16" s="4">
        <v>5</v>
      </c>
      <c r="T16" s="4">
        <v>5</v>
      </c>
      <c r="U16" s="4">
        <v>5</v>
      </c>
      <c r="V16" s="4">
        <v>5</v>
      </c>
      <c r="W16" s="4">
        <v>9</v>
      </c>
      <c r="X16" s="4">
        <v>3</v>
      </c>
      <c r="Y16" s="4">
        <v>5</v>
      </c>
      <c r="Z16" s="12">
        <v>3</v>
      </c>
      <c r="AA16" s="5">
        <f t="shared" si="0"/>
        <v>133</v>
      </c>
      <c r="AB16" s="6">
        <f t="shared" si="1"/>
        <v>0.13374186613143105</v>
      </c>
    </row>
    <row r="17" spans="1:28" x14ac:dyDescent="0.3">
      <c r="A17" s="1" t="s">
        <v>15</v>
      </c>
      <c r="B17" s="4">
        <v>1</v>
      </c>
      <c r="C17" s="4">
        <v>1</v>
      </c>
      <c r="D17" s="4">
        <v>1</v>
      </c>
      <c r="E17" s="4">
        <v>1</v>
      </c>
      <c r="F17" s="4">
        <v>0.2</v>
      </c>
      <c r="G17" s="4">
        <v>0.33300000000000002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3</v>
      </c>
      <c r="P17" s="4">
        <v>0.2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0.33300000000000002</v>
      </c>
      <c r="Y17" s="4">
        <v>1</v>
      </c>
      <c r="Z17" s="12">
        <v>0.33300000000000002</v>
      </c>
      <c r="AA17" s="5">
        <f t="shared" si="0"/>
        <v>23.398999999999997</v>
      </c>
      <c r="AB17" s="6">
        <f t="shared" si="1"/>
        <v>2.3529518237664322E-2</v>
      </c>
    </row>
    <row r="18" spans="1:28" x14ac:dyDescent="0.3">
      <c r="A18" s="1" t="s">
        <v>16</v>
      </c>
      <c r="B18" s="4">
        <v>1</v>
      </c>
      <c r="C18" s="4">
        <v>1</v>
      </c>
      <c r="D18" s="4">
        <v>1</v>
      </c>
      <c r="E18" s="4">
        <v>1</v>
      </c>
      <c r="F18" s="4">
        <v>0.2</v>
      </c>
      <c r="G18" s="4">
        <v>0.33300000000000002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3</v>
      </c>
      <c r="P18" s="4">
        <v>0.2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  <c r="X18" s="4">
        <v>0.33300000000000002</v>
      </c>
      <c r="Y18" s="4">
        <v>1</v>
      </c>
      <c r="Z18" s="12">
        <v>0.33300000000000002</v>
      </c>
      <c r="AA18" s="5">
        <f t="shared" si="0"/>
        <v>23.398999999999997</v>
      </c>
      <c r="AB18" s="6">
        <f t="shared" si="1"/>
        <v>2.3529518237664322E-2</v>
      </c>
    </row>
    <row r="19" spans="1:28" x14ac:dyDescent="0.3">
      <c r="A19" s="1" t="s">
        <v>17</v>
      </c>
      <c r="B19" s="4">
        <v>1</v>
      </c>
      <c r="C19" s="4">
        <v>1</v>
      </c>
      <c r="D19" s="4">
        <v>1</v>
      </c>
      <c r="E19" s="4">
        <v>1</v>
      </c>
      <c r="F19" s="4">
        <v>0.2</v>
      </c>
      <c r="G19" s="4">
        <v>0.33300000000000002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3</v>
      </c>
      <c r="P19" s="4">
        <v>0.2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0.33300000000000002</v>
      </c>
      <c r="Y19" s="4">
        <v>1</v>
      </c>
      <c r="Z19" s="12">
        <v>0.33300000000000002</v>
      </c>
      <c r="AA19" s="5">
        <f t="shared" si="0"/>
        <v>23.398999999999997</v>
      </c>
      <c r="AB19" s="6">
        <f t="shared" si="1"/>
        <v>2.3529518237664322E-2</v>
      </c>
    </row>
    <row r="20" spans="1:28" x14ac:dyDescent="0.3">
      <c r="A20" s="1" t="s">
        <v>18</v>
      </c>
      <c r="B20" s="4">
        <v>1</v>
      </c>
      <c r="C20" s="4">
        <v>1</v>
      </c>
      <c r="D20" s="4">
        <v>1</v>
      </c>
      <c r="E20" s="4">
        <v>1</v>
      </c>
      <c r="F20" s="4">
        <v>0.2</v>
      </c>
      <c r="G20" s="4">
        <v>0.33300000000000002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3</v>
      </c>
      <c r="P20" s="4">
        <v>0.2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0.33300000000000002</v>
      </c>
      <c r="Y20" s="4">
        <v>1</v>
      </c>
      <c r="Z20" s="12">
        <v>0.33300000000000002</v>
      </c>
      <c r="AA20" s="5">
        <f t="shared" si="0"/>
        <v>23.398999999999997</v>
      </c>
      <c r="AB20" s="6">
        <f t="shared" si="1"/>
        <v>2.3529518237664322E-2</v>
      </c>
    </row>
    <row r="21" spans="1:28" x14ac:dyDescent="0.3">
      <c r="A21" s="1" t="s">
        <v>19</v>
      </c>
      <c r="B21" s="4">
        <v>1</v>
      </c>
      <c r="C21" s="4">
        <v>1</v>
      </c>
      <c r="D21" s="4">
        <v>1</v>
      </c>
      <c r="E21" s="4">
        <v>1</v>
      </c>
      <c r="F21" s="4">
        <v>0.2</v>
      </c>
      <c r="G21" s="4">
        <v>0.33300000000000002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3</v>
      </c>
      <c r="P21" s="4">
        <v>0.2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0.33300000000000002</v>
      </c>
      <c r="Y21" s="4">
        <v>1</v>
      </c>
      <c r="Z21" s="12">
        <v>0.33300000000000002</v>
      </c>
      <c r="AA21" s="5">
        <f t="shared" si="0"/>
        <v>23.398999999999997</v>
      </c>
      <c r="AB21" s="6">
        <f t="shared" si="1"/>
        <v>2.3529518237664322E-2</v>
      </c>
    </row>
    <row r="22" spans="1:28" x14ac:dyDescent="0.3">
      <c r="A22" s="1" t="s">
        <v>20</v>
      </c>
      <c r="B22" s="4">
        <v>1</v>
      </c>
      <c r="C22" s="4">
        <v>1</v>
      </c>
      <c r="D22" s="4">
        <v>1</v>
      </c>
      <c r="E22" s="4">
        <v>1</v>
      </c>
      <c r="F22" s="4">
        <v>0.2</v>
      </c>
      <c r="G22" s="4">
        <v>0.33300000000000002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3</v>
      </c>
      <c r="P22" s="4">
        <v>0.2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4">
        <v>1</v>
      </c>
      <c r="X22" s="4">
        <v>0.33300000000000002</v>
      </c>
      <c r="Y22" s="4">
        <v>1</v>
      </c>
      <c r="Z22" s="12">
        <v>0.33300000000000002</v>
      </c>
      <c r="AA22" s="5">
        <f t="shared" si="0"/>
        <v>23.398999999999997</v>
      </c>
      <c r="AB22" s="6">
        <f t="shared" si="1"/>
        <v>2.3529518237664322E-2</v>
      </c>
    </row>
    <row r="23" spans="1:28" x14ac:dyDescent="0.3">
      <c r="A23" s="1" t="s">
        <v>21</v>
      </c>
      <c r="B23" s="4">
        <v>1</v>
      </c>
      <c r="C23" s="4">
        <v>1</v>
      </c>
      <c r="D23" s="4">
        <v>3</v>
      </c>
      <c r="E23" s="4">
        <v>3</v>
      </c>
      <c r="F23" s="4">
        <v>0.111</v>
      </c>
      <c r="G23" s="4">
        <v>0.2</v>
      </c>
      <c r="H23" s="4">
        <v>0.33300000000000002</v>
      </c>
      <c r="I23" s="4">
        <v>0.33300000000000002</v>
      </c>
      <c r="J23" s="4">
        <v>0.33300000000000002</v>
      </c>
      <c r="K23" s="4">
        <v>0.5</v>
      </c>
      <c r="L23" s="4">
        <v>0.33300000000000002</v>
      </c>
      <c r="M23" s="4">
        <v>0.5</v>
      </c>
      <c r="N23" s="4">
        <v>0.5</v>
      </c>
      <c r="O23" s="4">
        <v>1</v>
      </c>
      <c r="P23" s="4">
        <v>0.111</v>
      </c>
      <c r="Q23" s="4">
        <v>3</v>
      </c>
      <c r="R23" s="4">
        <v>3</v>
      </c>
      <c r="S23" s="4">
        <v>3</v>
      </c>
      <c r="T23" s="4">
        <v>3</v>
      </c>
      <c r="U23" s="4">
        <v>3</v>
      </c>
      <c r="V23" s="4">
        <v>3</v>
      </c>
      <c r="W23" s="4">
        <v>1</v>
      </c>
      <c r="X23" s="4">
        <v>0.33300000000000002</v>
      </c>
      <c r="Y23" s="4">
        <v>3</v>
      </c>
      <c r="Z23" s="12">
        <v>0.33300000000000002</v>
      </c>
      <c r="AA23" s="5">
        <f t="shared" si="0"/>
        <v>34.92</v>
      </c>
      <c r="AB23" s="6">
        <f t="shared" si="1"/>
        <v>3.5114781694056935E-2</v>
      </c>
    </row>
    <row r="24" spans="1:28" x14ac:dyDescent="0.3">
      <c r="A24" s="1" t="s">
        <v>22</v>
      </c>
      <c r="B24" s="4">
        <v>3</v>
      </c>
      <c r="C24" s="4">
        <v>3</v>
      </c>
      <c r="D24" s="4">
        <v>2</v>
      </c>
      <c r="E24" s="4">
        <v>2</v>
      </c>
      <c r="F24" s="4">
        <v>0.33300000000000002</v>
      </c>
      <c r="G24" s="4">
        <v>1</v>
      </c>
      <c r="H24" s="4">
        <v>2</v>
      </c>
      <c r="I24" s="4">
        <v>2</v>
      </c>
      <c r="J24" s="4">
        <v>2</v>
      </c>
      <c r="K24" s="4">
        <v>3</v>
      </c>
      <c r="L24" s="4">
        <v>2</v>
      </c>
      <c r="M24" s="4">
        <v>3</v>
      </c>
      <c r="N24" s="4">
        <v>3</v>
      </c>
      <c r="O24" s="4">
        <v>5</v>
      </c>
      <c r="P24" s="4">
        <v>0.33300000000000002</v>
      </c>
      <c r="Q24" s="4">
        <v>3</v>
      </c>
      <c r="R24" s="4">
        <v>3</v>
      </c>
      <c r="S24" s="4">
        <v>3</v>
      </c>
      <c r="T24" s="4">
        <v>3</v>
      </c>
      <c r="U24" s="4">
        <v>3</v>
      </c>
      <c r="V24" s="4">
        <v>3</v>
      </c>
      <c r="W24" s="4">
        <v>3</v>
      </c>
      <c r="X24" s="4">
        <v>1</v>
      </c>
      <c r="Y24" s="4">
        <v>3</v>
      </c>
      <c r="Z24" s="12">
        <v>1</v>
      </c>
      <c r="AA24" s="5">
        <f t="shared" si="0"/>
        <v>59.665999999999997</v>
      </c>
      <c r="AB24" s="6">
        <f t="shared" si="1"/>
        <v>5.999881341802981E-2</v>
      </c>
    </row>
    <row r="25" spans="1:28" x14ac:dyDescent="0.3">
      <c r="A25" s="1" t="s">
        <v>23</v>
      </c>
      <c r="B25" s="4">
        <v>1</v>
      </c>
      <c r="C25" s="4">
        <v>1</v>
      </c>
      <c r="D25" s="4">
        <v>1</v>
      </c>
      <c r="E25" s="4">
        <v>1</v>
      </c>
      <c r="F25" s="4">
        <v>0.2</v>
      </c>
      <c r="G25" s="4">
        <v>0.33300000000000002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3</v>
      </c>
      <c r="P25" s="4">
        <v>0.2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0.33300000000000002</v>
      </c>
      <c r="Y25" s="4">
        <v>1</v>
      </c>
      <c r="Z25" s="12">
        <v>0.33300000000000002</v>
      </c>
      <c r="AA25" s="5">
        <f t="shared" si="0"/>
        <v>23.398999999999997</v>
      </c>
      <c r="AB25" s="6">
        <f t="shared" si="1"/>
        <v>2.3529518237664322E-2</v>
      </c>
    </row>
    <row r="26" spans="1:28" x14ac:dyDescent="0.3">
      <c r="A26" s="1" t="s">
        <v>24</v>
      </c>
      <c r="B26" s="4">
        <v>3</v>
      </c>
      <c r="C26" s="4">
        <v>3</v>
      </c>
      <c r="D26" s="4">
        <v>2</v>
      </c>
      <c r="E26" s="4">
        <v>2</v>
      </c>
      <c r="F26" s="4">
        <v>0.33300000000000002</v>
      </c>
      <c r="G26" s="4">
        <v>1</v>
      </c>
      <c r="H26" s="4">
        <v>2</v>
      </c>
      <c r="I26" s="4">
        <v>2</v>
      </c>
      <c r="J26" s="4">
        <v>2</v>
      </c>
      <c r="K26" s="4">
        <v>3</v>
      </c>
      <c r="L26" s="4">
        <v>2</v>
      </c>
      <c r="M26" s="4">
        <v>3</v>
      </c>
      <c r="N26" s="4">
        <v>3</v>
      </c>
      <c r="O26" s="4">
        <v>5</v>
      </c>
      <c r="P26" s="4">
        <v>0.33300000000000002</v>
      </c>
      <c r="Q26" s="4">
        <v>3</v>
      </c>
      <c r="R26" s="4">
        <v>3</v>
      </c>
      <c r="S26" s="4">
        <v>3</v>
      </c>
      <c r="T26" s="4">
        <v>3</v>
      </c>
      <c r="U26" s="4">
        <v>3</v>
      </c>
      <c r="V26" s="4">
        <v>3</v>
      </c>
      <c r="W26" s="4">
        <v>3</v>
      </c>
      <c r="X26" s="4">
        <v>1</v>
      </c>
      <c r="Y26" s="4">
        <v>3</v>
      </c>
      <c r="Z26" s="12">
        <v>1</v>
      </c>
      <c r="AA26" s="5">
        <f t="shared" si="0"/>
        <v>59.665999999999997</v>
      </c>
      <c r="AB26" s="6">
        <f t="shared" si="1"/>
        <v>5.999881341802981E-2</v>
      </c>
    </row>
    <row r="27" spans="1:28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5">
        <f>SUM(AA2:AA26)</f>
        <v>994.45299999999997</v>
      </c>
      <c r="AB27" s="6">
        <f>SUM(AB2:AB26)</f>
        <v>1.0000000000000002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6FD01-0DE6-44C7-8432-50CDE4D7726F}">
  <dimension ref="A1:AB27"/>
  <sheetViews>
    <sheetView tabSelected="1" topLeftCell="G1" workbookViewId="0">
      <selection activeCell="AB2" sqref="AB2:AB26"/>
    </sheetView>
  </sheetViews>
  <sheetFormatPr defaultRowHeight="14.4" x14ac:dyDescent="0.3"/>
  <cols>
    <col min="27" max="27" width="13.6640625" customWidth="1"/>
    <col min="28" max="28" width="10.44140625" customWidth="1"/>
  </cols>
  <sheetData>
    <row r="1" spans="1:28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9" t="s">
        <v>24</v>
      </c>
      <c r="AA1" s="10" t="s">
        <v>25</v>
      </c>
      <c r="AB1" s="11" t="s">
        <v>27</v>
      </c>
    </row>
    <row r="2" spans="1:28" x14ac:dyDescent="0.3">
      <c r="A2" s="1" t="s">
        <v>0</v>
      </c>
      <c r="B2" s="4">
        <v>1</v>
      </c>
      <c r="C2" s="4">
        <v>1</v>
      </c>
      <c r="D2" s="4">
        <v>0.111</v>
      </c>
      <c r="E2" s="4">
        <v>1</v>
      </c>
      <c r="F2" s="4">
        <v>1</v>
      </c>
      <c r="G2" s="4">
        <v>0.33300000000000002</v>
      </c>
      <c r="H2" s="4">
        <v>0.111</v>
      </c>
      <c r="I2" s="4">
        <v>1</v>
      </c>
      <c r="J2" s="4">
        <v>1</v>
      </c>
      <c r="K2" s="4">
        <v>1</v>
      </c>
      <c r="L2" s="4">
        <v>0.33300000000000002</v>
      </c>
      <c r="M2" s="4">
        <v>0.33300000000000002</v>
      </c>
      <c r="N2" s="4">
        <v>1</v>
      </c>
      <c r="O2" s="4">
        <v>1</v>
      </c>
      <c r="P2" s="4">
        <v>1</v>
      </c>
      <c r="Q2" s="4">
        <v>1</v>
      </c>
      <c r="R2" s="4">
        <v>0.111</v>
      </c>
      <c r="S2" s="4">
        <v>0.33300000000000002</v>
      </c>
      <c r="T2" s="4">
        <v>1</v>
      </c>
      <c r="U2" s="4">
        <v>1</v>
      </c>
      <c r="V2" s="4">
        <v>1</v>
      </c>
      <c r="W2" s="4">
        <v>0.111</v>
      </c>
      <c r="X2" s="4">
        <v>1</v>
      </c>
      <c r="Y2" s="4">
        <v>1</v>
      </c>
      <c r="Z2" s="12">
        <v>0.33300000000000002</v>
      </c>
      <c r="AA2" s="13">
        <f>SUM(B2:Z2)</f>
        <v>18.109000000000002</v>
      </c>
      <c r="AB2" s="14">
        <f>AA2/$AA$27</f>
        <v>1.4618084481210972E-2</v>
      </c>
    </row>
    <row r="3" spans="1:28" x14ac:dyDescent="0.3">
      <c r="A3" s="1" t="s">
        <v>1</v>
      </c>
      <c r="B3" s="4">
        <v>1</v>
      </c>
      <c r="C3" s="4">
        <v>1</v>
      </c>
      <c r="D3" s="4">
        <v>0.111</v>
      </c>
      <c r="E3" s="4">
        <v>1</v>
      </c>
      <c r="F3" s="4">
        <v>1</v>
      </c>
      <c r="G3" s="4">
        <v>0.33300000000000002</v>
      </c>
      <c r="H3" s="4">
        <v>0.111</v>
      </c>
      <c r="I3" s="4">
        <v>1</v>
      </c>
      <c r="J3" s="4">
        <v>1</v>
      </c>
      <c r="K3" s="4">
        <v>1</v>
      </c>
      <c r="L3" s="4">
        <v>0.33300000000000002</v>
      </c>
      <c r="M3" s="4">
        <v>0.33300000000000002</v>
      </c>
      <c r="N3" s="4">
        <v>1</v>
      </c>
      <c r="O3" s="4">
        <v>1</v>
      </c>
      <c r="P3" s="4">
        <v>1</v>
      </c>
      <c r="Q3" s="4">
        <v>1</v>
      </c>
      <c r="R3" s="4">
        <v>0.111</v>
      </c>
      <c r="S3" s="4">
        <v>0.33300000000000002</v>
      </c>
      <c r="T3" s="4">
        <v>1</v>
      </c>
      <c r="U3" s="4">
        <v>1</v>
      </c>
      <c r="V3" s="4">
        <v>1</v>
      </c>
      <c r="W3" s="4">
        <v>0.111</v>
      </c>
      <c r="X3" s="4">
        <v>1</v>
      </c>
      <c r="Y3" s="4">
        <v>1</v>
      </c>
      <c r="Z3" s="12">
        <v>0.33300000000000002</v>
      </c>
      <c r="AA3" s="13">
        <f t="shared" ref="AA3:AA26" si="0">SUM(B3:Z3)</f>
        <v>18.109000000000002</v>
      </c>
      <c r="AB3" s="14">
        <f t="shared" ref="AB3:AB26" si="1">AA3/$AA$27</f>
        <v>1.4618084481210972E-2</v>
      </c>
    </row>
    <row r="4" spans="1:28" x14ac:dyDescent="0.3">
      <c r="A4" s="1" t="s">
        <v>2</v>
      </c>
      <c r="B4" s="4">
        <v>9</v>
      </c>
      <c r="C4" s="4">
        <v>9</v>
      </c>
      <c r="D4" s="4">
        <v>1</v>
      </c>
      <c r="E4" s="4">
        <v>9</v>
      </c>
      <c r="F4" s="4">
        <v>9</v>
      </c>
      <c r="G4" s="4">
        <v>5</v>
      </c>
      <c r="H4" s="4">
        <v>1</v>
      </c>
      <c r="I4" s="4">
        <v>9</v>
      </c>
      <c r="J4" s="4">
        <v>9</v>
      </c>
      <c r="K4" s="4">
        <v>9</v>
      </c>
      <c r="L4" s="4">
        <v>5</v>
      </c>
      <c r="M4" s="4">
        <v>5</v>
      </c>
      <c r="N4" s="4">
        <v>9</v>
      </c>
      <c r="O4" s="4">
        <v>9</v>
      </c>
      <c r="P4" s="4">
        <v>9</v>
      </c>
      <c r="Q4" s="4">
        <v>9</v>
      </c>
      <c r="R4" s="4">
        <v>1</v>
      </c>
      <c r="S4" s="4">
        <v>3</v>
      </c>
      <c r="T4" s="4">
        <v>9</v>
      </c>
      <c r="U4" s="4">
        <v>9</v>
      </c>
      <c r="V4" s="4">
        <v>9</v>
      </c>
      <c r="W4" s="4">
        <v>1</v>
      </c>
      <c r="X4" s="4">
        <v>9</v>
      </c>
      <c r="Y4" s="4">
        <v>9</v>
      </c>
      <c r="Z4" s="12">
        <v>3</v>
      </c>
      <c r="AA4" s="13">
        <f t="shared" si="0"/>
        <v>169</v>
      </c>
      <c r="AB4" s="14">
        <f t="shared" si="1"/>
        <v>0.13642146321302415</v>
      </c>
    </row>
    <row r="5" spans="1:28" x14ac:dyDescent="0.3">
      <c r="A5" s="1" t="s">
        <v>3</v>
      </c>
      <c r="B5" s="4">
        <v>1</v>
      </c>
      <c r="C5" s="4">
        <v>1</v>
      </c>
      <c r="D5" s="4">
        <v>0.111</v>
      </c>
      <c r="E5" s="4">
        <v>1</v>
      </c>
      <c r="F5" s="4">
        <v>1</v>
      </c>
      <c r="G5" s="4">
        <v>0.33300000000000002</v>
      </c>
      <c r="H5" s="4">
        <v>0.111</v>
      </c>
      <c r="I5" s="4">
        <v>1</v>
      </c>
      <c r="J5" s="4">
        <v>1</v>
      </c>
      <c r="K5" s="4">
        <v>1</v>
      </c>
      <c r="L5" s="4">
        <v>0.33300000000000002</v>
      </c>
      <c r="M5" s="4">
        <v>0.33300000000000002</v>
      </c>
      <c r="N5" s="4">
        <v>1</v>
      </c>
      <c r="O5" s="4">
        <v>1</v>
      </c>
      <c r="P5" s="4">
        <v>1</v>
      </c>
      <c r="Q5" s="4">
        <v>1</v>
      </c>
      <c r="R5" s="4">
        <v>0.111</v>
      </c>
      <c r="S5" s="4">
        <v>0.33300000000000002</v>
      </c>
      <c r="T5" s="4">
        <v>1</v>
      </c>
      <c r="U5" s="4">
        <v>1</v>
      </c>
      <c r="V5" s="4">
        <v>1</v>
      </c>
      <c r="W5" s="4">
        <v>0.111</v>
      </c>
      <c r="X5" s="4">
        <v>1</v>
      </c>
      <c r="Y5" s="4">
        <v>1</v>
      </c>
      <c r="Z5" s="12">
        <v>0.33300000000000002</v>
      </c>
      <c r="AA5" s="13">
        <f t="shared" si="0"/>
        <v>18.109000000000002</v>
      </c>
      <c r="AB5" s="14">
        <f t="shared" si="1"/>
        <v>1.4618084481210972E-2</v>
      </c>
    </row>
    <row r="6" spans="1:28" x14ac:dyDescent="0.3">
      <c r="A6" s="1" t="s">
        <v>4</v>
      </c>
      <c r="B6" s="4">
        <v>1</v>
      </c>
      <c r="C6" s="4">
        <v>1</v>
      </c>
      <c r="D6" s="4">
        <v>0.111</v>
      </c>
      <c r="E6" s="4">
        <v>1</v>
      </c>
      <c r="F6" s="4">
        <v>1</v>
      </c>
      <c r="G6" s="4">
        <v>0.33300000000000002</v>
      </c>
      <c r="H6" s="4">
        <v>0.111</v>
      </c>
      <c r="I6" s="4">
        <v>1</v>
      </c>
      <c r="J6" s="4">
        <v>1</v>
      </c>
      <c r="K6" s="4">
        <v>1</v>
      </c>
      <c r="L6" s="4">
        <v>0.33300000000000002</v>
      </c>
      <c r="M6" s="4">
        <v>0.33300000000000002</v>
      </c>
      <c r="N6" s="4">
        <v>1</v>
      </c>
      <c r="O6" s="4">
        <v>1</v>
      </c>
      <c r="P6" s="4">
        <v>1</v>
      </c>
      <c r="Q6" s="4">
        <v>1</v>
      </c>
      <c r="R6" s="4">
        <v>0.111</v>
      </c>
      <c r="S6" s="4">
        <v>0.33300000000000002</v>
      </c>
      <c r="T6" s="4">
        <v>1</v>
      </c>
      <c r="U6" s="4">
        <v>1</v>
      </c>
      <c r="V6" s="4">
        <v>1</v>
      </c>
      <c r="W6" s="4">
        <v>0.111</v>
      </c>
      <c r="X6" s="4">
        <v>1</v>
      </c>
      <c r="Y6" s="4">
        <v>1</v>
      </c>
      <c r="Z6" s="12">
        <v>0.33300000000000002</v>
      </c>
      <c r="AA6" s="13">
        <f t="shared" si="0"/>
        <v>18.109000000000002</v>
      </c>
      <c r="AB6" s="14">
        <f t="shared" si="1"/>
        <v>1.4618084481210972E-2</v>
      </c>
    </row>
    <row r="7" spans="1:28" x14ac:dyDescent="0.3">
      <c r="A7" s="1" t="s">
        <v>5</v>
      </c>
      <c r="B7" s="4">
        <v>3</v>
      </c>
      <c r="C7" s="4">
        <v>3</v>
      </c>
      <c r="D7" s="4">
        <v>0.2</v>
      </c>
      <c r="E7" s="4">
        <v>3</v>
      </c>
      <c r="F7" s="4">
        <v>3</v>
      </c>
      <c r="G7" s="4">
        <v>1</v>
      </c>
      <c r="H7" s="4">
        <v>0.2</v>
      </c>
      <c r="I7" s="4">
        <v>3</v>
      </c>
      <c r="J7" s="4">
        <v>3</v>
      </c>
      <c r="K7" s="4">
        <v>3</v>
      </c>
      <c r="L7" s="4">
        <v>1</v>
      </c>
      <c r="M7" s="4">
        <v>1</v>
      </c>
      <c r="N7" s="4">
        <v>3</v>
      </c>
      <c r="O7" s="4">
        <v>3</v>
      </c>
      <c r="P7" s="4">
        <v>3</v>
      </c>
      <c r="Q7" s="4">
        <v>3</v>
      </c>
      <c r="R7" s="4">
        <v>0.2</v>
      </c>
      <c r="S7" s="4">
        <v>0.5</v>
      </c>
      <c r="T7" s="4">
        <v>3</v>
      </c>
      <c r="U7" s="4">
        <v>3</v>
      </c>
      <c r="V7" s="4">
        <v>3</v>
      </c>
      <c r="W7" s="4">
        <v>0.2</v>
      </c>
      <c r="X7" s="4">
        <v>3</v>
      </c>
      <c r="Y7" s="4">
        <v>3</v>
      </c>
      <c r="Z7" s="12">
        <v>0.5</v>
      </c>
      <c r="AA7" s="13">
        <f t="shared" si="0"/>
        <v>52.800000000000004</v>
      </c>
      <c r="AB7" s="14">
        <f t="shared" si="1"/>
        <v>4.262161690915784E-2</v>
      </c>
    </row>
    <row r="8" spans="1:28" x14ac:dyDescent="0.3">
      <c r="A8" s="1" t="s">
        <v>6</v>
      </c>
      <c r="B8" s="4">
        <v>9</v>
      </c>
      <c r="C8" s="4">
        <v>9</v>
      </c>
      <c r="D8" s="4">
        <v>1</v>
      </c>
      <c r="E8" s="4">
        <v>9</v>
      </c>
      <c r="F8" s="4">
        <v>9</v>
      </c>
      <c r="G8" s="4">
        <v>5</v>
      </c>
      <c r="H8" s="4">
        <v>1</v>
      </c>
      <c r="I8" s="4">
        <v>9</v>
      </c>
      <c r="J8" s="4">
        <v>9</v>
      </c>
      <c r="K8" s="4">
        <v>9</v>
      </c>
      <c r="L8" s="4">
        <v>5</v>
      </c>
      <c r="M8" s="4">
        <v>5</v>
      </c>
      <c r="N8" s="4">
        <v>9</v>
      </c>
      <c r="O8" s="4">
        <v>9</v>
      </c>
      <c r="P8" s="4">
        <v>9</v>
      </c>
      <c r="Q8" s="4">
        <v>9</v>
      </c>
      <c r="R8" s="4">
        <v>1</v>
      </c>
      <c r="S8" s="4">
        <v>3</v>
      </c>
      <c r="T8" s="4">
        <v>9</v>
      </c>
      <c r="U8" s="4">
        <v>9</v>
      </c>
      <c r="V8" s="4">
        <v>9</v>
      </c>
      <c r="W8" s="4">
        <v>1</v>
      </c>
      <c r="X8" s="4">
        <v>9</v>
      </c>
      <c r="Y8" s="4">
        <v>9</v>
      </c>
      <c r="Z8" s="12">
        <v>3</v>
      </c>
      <c r="AA8" s="13">
        <f t="shared" si="0"/>
        <v>169</v>
      </c>
      <c r="AB8" s="14">
        <f t="shared" si="1"/>
        <v>0.13642146321302415</v>
      </c>
    </row>
    <row r="9" spans="1:28" x14ac:dyDescent="0.3">
      <c r="A9" s="1" t="s">
        <v>7</v>
      </c>
      <c r="B9" s="4">
        <v>1</v>
      </c>
      <c r="C9" s="4">
        <v>1</v>
      </c>
      <c r="D9" s="4">
        <v>0.111</v>
      </c>
      <c r="E9" s="4">
        <v>1</v>
      </c>
      <c r="F9" s="4">
        <v>1</v>
      </c>
      <c r="G9" s="4">
        <v>0.33300000000000002</v>
      </c>
      <c r="H9" s="4">
        <v>0.111</v>
      </c>
      <c r="I9" s="4">
        <v>1</v>
      </c>
      <c r="J9" s="4">
        <v>1</v>
      </c>
      <c r="K9" s="4">
        <v>1</v>
      </c>
      <c r="L9" s="4">
        <v>0.33300000000000002</v>
      </c>
      <c r="M9" s="4">
        <v>0.33300000000000002</v>
      </c>
      <c r="N9" s="4">
        <v>1</v>
      </c>
      <c r="O9" s="4">
        <v>1</v>
      </c>
      <c r="P9" s="4">
        <v>1</v>
      </c>
      <c r="Q9" s="4">
        <v>1</v>
      </c>
      <c r="R9" s="4">
        <v>0.111</v>
      </c>
      <c r="S9" s="4">
        <v>0.33300000000000002</v>
      </c>
      <c r="T9" s="4">
        <v>1</v>
      </c>
      <c r="U9" s="4">
        <v>1</v>
      </c>
      <c r="V9" s="4">
        <v>1</v>
      </c>
      <c r="W9" s="4">
        <v>0.111</v>
      </c>
      <c r="X9" s="4">
        <v>1</v>
      </c>
      <c r="Y9" s="4">
        <v>1</v>
      </c>
      <c r="Z9" s="12">
        <v>0.33300000000000002</v>
      </c>
      <c r="AA9" s="13">
        <f t="shared" si="0"/>
        <v>18.109000000000002</v>
      </c>
      <c r="AB9" s="14">
        <f t="shared" si="1"/>
        <v>1.4618084481210972E-2</v>
      </c>
    </row>
    <row r="10" spans="1:28" x14ac:dyDescent="0.3">
      <c r="A10" s="1" t="s">
        <v>8</v>
      </c>
      <c r="B10" s="4">
        <v>1</v>
      </c>
      <c r="C10" s="4">
        <v>1</v>
      </c>
      <c r="D10" s="4">
        <v>0.111</v>
      </c>
      <c r="E10" s="4">
        <v>1</v>
      </c>
      <c r="F10" s="4">
        <v>1</v>
      </c>
      <c r="G10" s="4">
        <v>0.33300000000000002</v>
      </c>
      <c r="H10" s="4">
        <v>0.111</v>
      </c>
      <c r="I10" s="4">
        <v>1</v>
      </c>
      <c r="J10" s="4">
        <v>1</v>
      </c>
      <c r="K10" s="4">
        <v>1</v>
      </c>
      <c r="L10" s="4">
        <v>0.33300000000000002</v>
      </c>
      <c r="M10" s="4">
        <v>0.33300000000000002</v>
      </c>
      <c r="N10" s="4">
        <v>1</v>
      </c>
      <c r="O10" s="4">
        <v>1</v>
      </c>
      <c r="P10" s="4">
        <v>1</v>
      </c>
      <c r="Q10" s="4">
        <v>1</v>
      </c>
      <c r="R10" s="4">
        <v>0.111</v>
      </c>
      <c r="S10" s="4">
        <v>0.33300000000000002</v>
      </c>
      <c r="T10" s="4">
        <v>1</v>
      </c>
      <c r="U10" s="4">
        <v>1</v>
      </c>
      <c r="V10" s="4">
        <v>1</v>
      </c>
      <c r="W10" s="4">
        <v>0.111</v>
      </c>
      <c r="X10" s="4">
        <v>1</v>
      </c>
      <c r="Y10" s="4">
        <v>1</v>
      </c>
      <c r="Z10" s="12">
        <v>0.33300000000000002</v>
      </c>
      <c r="AA10" s="13">
        <f t="shared" si="0"/>
        <v>18.109000000000002</v>
      </c>
      <c r="AB10" s="14">
        <f t="shared" si="1"/>
        <v>1.4618084481210972E-2</v>
      </c>
    </row>
    <row r="11" spans="1:28" x14ac:dyDescent="0.3">
      <c r="A11" s="1" t="s">
        <v>9</v>
      </c>
      <c r="B11" s="4">
        <v>1</v>
      </c>
      <c r="C11" s="4">
        <v>1</v>
      </c>
      <c r="D11" s="4">
        <v>0.111</v>
      </c>
      <c r="E11" s="4">
        <v>1</v>
      </c>
      <c r="F11" s="4">
        <v>1</v>
      </c>
      <c r="G11" s="4">
        <v>0.33300000000000002</v>
      </c>
      <c r="H11" s="4">
        <v>0.111</v>
      </c>
      <c r="I11" s="4">
        <v>1</v>
      </c>
      <c r="J11" s="4">
        <v>1</v>
      </c>
      <c r="K11" s="4">
        <v>1</v>
      </c>
      <c r="L11" s="4">
        <v>0.33300000000000002</v>
      </c>
      <c r="M11" s="4">
        <v>0.33300000000000002</v>
      </c>
      <c r="N11" s="4">
        <v>1</v>
      </c>
      <c r="O11" s="4">
        <v>1</v>
      </c>
      <c r="P11" s="4">
        <v>1</v>
      </c>
      <c r="Q11" s="4">
        <v>1</v>
      </c>
      <c r="R11" s="4">
        <v>0.111</v>
      </c>
      <c r="S11" s="4">
        <v>0.33300000000000002</v>
      </c>
      <c r="T11" s="4">
        <v>1</v>
      </c>
      <c r="U11" s="4">
        <v>1</v>
      </c>
      <c r="V11" s="4">
        <v>1</v>
      </c>
      <c r="W11" s="4">
        <v>0.111</v>
      </c>
      <c r="X11" s="4">
        <v>1</v>
      </c>
      <c r="Y11" s="4">
        <v>1</v>
      </c>
      <c r="Z11" s="12">
        <v>0.33300000000000002</v>
      </c>
      <c r="AA11" s="13">
        <f t="shared" si="0"/>
        <v>18.109000000000002</v>
      </c>
      <c r="AB11" s="14">
        <f t="shared" si="1"/>
        <v>1.4618084481210972E-2</v>
      </c>
    </row>
    <row r="12" spans="1:28" x14ac:dyDescent="0.3">
      <c r="A12" s="1" t="s">
        <v>10</v>
      </c>
      <c r="B12" s="4">
        <v>3</v>
      </c>
      <c r="C12" s="4">
        <v>3</v>
      </c>
      <c r="D12" s="4">
        <v>0.2</v>
      </c>
      <c r="E12" s="4">
        <v>3</v>
      </c>
      <c r="F12" s="4">
        <v>3</v>
      </c>
      <c r="G12" s="4">
        <v>1</v>
      </c>
      <c r="H12" s="4">
        <v>0.2</v>
      </c>
      <c r="I12" s="4">
        <v>3</v>
      </c>
      <c r="J12" s="4">
        <v>3</v>
      </c>
      <c r="K12" s="4">
        <v>3</v>
      </c>
      <c r="L12" s="4">
        <v>1</v>
      </c>
      <c r="M12" s="4">
        <v>1</v>
      </c>
      <c r="N12" s="4">
        <v>3</v>
      </c>
      <c r="O12" s="4">
        <v>3</v>
      </c>
      <c r="P12" s="4">
        <v>3</v>
      </c>
      <c r="Q12" s="4">
        <v>3</v>
      </c>
      <c r="R12" s="4">
        <v>0.2</v>
      </c>
      <c r="S12" s="4">
        <v>0.5</v>
      </c>
      <c r="T12" s="4">
        <v>3</v>
      </c>
      <c r="U12" s="4">
        <v>3</v>
      </c>
      <c r="V12" s="4">
        <v>3</v>
      </c>
      <c r="W12" s="4">
        <v>0.2</v>
      </c>
      <c r="X12" s="4">
        <v>3</v>
      </c>
      <c r="Y12" s="4">
        <v>3</v>
      </c>
      <c r="Z12" s="12">
        <v>0.5</v>
      </c>
      <c r="AA12" s="13">
        <f t="shared" si="0"/>
        <v>52.800000000000004</v>
      </c>
      <c r="AB12" s="14">
        <f t="shared" si="1"/>
        <v>4.262161690915784E-2</v>
      </c>
    </row>
    <row r="13" spans="1:28" x14ac:dyDescent="0.3">
      <c r="A13" s="1" t="s">
        <v>11</v>
      </c>
      <c r="B13" s="4">
        <v>3</v>
      </c>
      <c r="C13" s="4">
        <v>3</v>
      </c>
      <c r="D13" s="4">
        <v>0.2</v>
      </c>
      <c r="E13" s="4">
        <v>3</v>
      </c>
      <c r="F13" s="4">
        <v>3</v>
      </c>
      <c r="G13" s="4">
        <v>1</v>
      </c>
      <c r="H13" s="4">
        <v>0.2</v>
      </c>
      <c r="I13" s="4">
        <v>3</v>
      </c>
      <c r="J13" s="4">
        <v>3</v>
      </c>
      <c r="K13" s="4">
        <v>3</v>
      </c>
      <c r="L13" s="4">
        <v>1</v>
      </c>
      <c r="M13" s="4">
        <v>1</v>
      </c>
      <c r="N13" s="4">
        <v>3</v>
      </c>
      <c r="O13" s="4">
        <v>3</v>
      </c>
      <c r="P13" s="4">
        <v>3</v>
      </c>
      <c r="Q13" s="4">
        <v>3</v>
      </c>
      <c r="R13" s="4">
        <v>0.2</v>
      </c>
      <c r="S13" s="4">
        <v>0.5</v>
      </c>
      <c r="T13" s="4">
        <v>3</v>
      </c>
      <c r="U13" s="4">
        <v>3</v>
      </c>
      <c r="V13" s="4">
        <v>3</v>
      </c>
      <c r="W13" s="4">
        <v>0.2</v>
      </c>
      <c r="X13" s="4">
        <v>3</v>
      </c>
      <c r="Y13" s="4">
        <v>3</v>
      </c>
      <c r="Z13" s="12">
        <v>0.5</v>
      </c>
      <c r="AA13" s="13">
        <f t="shared" si="0"/>
        <v>52.800000000000004</v>
      </c>
      <c r="AB13" s="14">
        <f t="shared" si="1"/>
        <v>4.262161690915784E-2</v>
      </c>
    </row>
    <row r="14" spans="1:28" x14ac:dyDescent="0.3">
      <c r="A14" s="1" t="s">
        <v>12</v>
      </c>
      <c r="B14" s="4">
        <v>1</v>
      </c>
      <c r="C14" s="4">
        <v>1</v>
      </c>
      <c r="D14" s="4">
        <v>0.111</v>
      </c>
      <c r="E14" s="4">
        <v>1</v>
      </c>
      <c r="F14" s="4">
        <v>1</v>
      </c>
      <c r="G14" s="4">
        <v>0.33300000000000002</v>
      </c>
      <c r="H14" s="4">
        <v>0.111</v>
      </c>
      <c r="I14" s="4">
        <v>1</v>
      </c>
      <c r="J14" s="4">
        <v>1</v>
      </c>
      <c r="K14" s="4">
        <v>1</v>
      </c>
      <c r="L14" s="4">
        <v>0.33300000000000002</v>
      </c>
      <c r="M14" s="4">
        <v>0.33300000000000002</v>
      </c>
      <c r="N14" s="4">
        <v>1</v>
      </c>
      <c r="O14" s="4">
        <v>1</v>
      </c>
      <c r="P14" s="4">
        <v>1</v>
      </c>
      <c r="Q14" s="4">
        <v>1</v>
      </c>
      <c r="R14" s="4">
        <v>0.111</v>
      </c>
      <c r="S14" s="4">
        <v>0.33300000000000002</v>
      </c>
      <c r="T14" s="4">
        <v>1</v>
      </c>
      <c r="U14" s="4">
        <v>1</v>
      </c>
      <c r="V14" s="4">
        <v>1</v>
      </c>
      <c r="W14" s="4">
        <v>0.111</v>
      </c>
      <c r="X14" s="4">
        <v>1</v>
      </c>
      <c r="Y14" s="4">
        <v>1</v>
      </c>
      <c r="Z14" s="12">
        <v>0.33300000000000002</v>
      </c>
      <c r="AA14" s="13">
        <f t="shared" si="0"/>
        <v>18.109000000000002</v>
      </c>
      <c r="AB14" s="14">
        <f t="shared" si="1"/>
        <v>1.4618084481210972E-2</v>
      </c>
    </row>
    <row r="15" spans="1:28" x14ac:dyDescent="0.3">
      <c r="A15" s="1" t="s">
        <v>13</v>
      </c>
      <c r="B15" s="4">
        <v>1</v>
      </c>
      <c r="C15" s="4">
        <v>1</v>
      </c>
      <c r="D15" s="4">
        <v>0.111</v>
      </c>
      <c r="E15" s="4">
        <v>1</v>
      </c>
      <c r="F15" s="4">
        <v>1</v>
      </c>
      <c r="G15" s="4">
        <v>0.33300000000000002</v>
      </c>
      <c r="H15" s="4">
        <v>0.111</v>
      </c>
      <c r="I15" s="4">
        <v>1</v>
      </c>
      <c r="J15" s="4">
        <v>1</v>
      </c>
      <c r="K15" s="4">
        <v>1</v>
      </c>
      <c r="L15" s="4">
        <v>0.33300000000000002</v>
      </c>
      <c r="M15" s="4">
        <v>0.33300000000000002</v>
      </c>
      <c r="N15" s="4">
        <v>1</v>
      </c>
      <c r="O15" s="4">
        <v>1</v>
      </c>
      <c r="P15" s="4">
        <v>1</v>
      </c>
      <c r="Q15" s="4">
        <v>1</v>
      </c>
      <c r="R15" s="4">
        <v>0.111</v>
      </c>
      <c r="S15" s="4">
        <v>0.33300000000000002</v>
      </c>
      <c r="T15" s="4">
        <v>1</v>
      </c>
      <c r="U15" s="4">
        <v>1</v>
      </c>
      <c r="V15" s="4">
        <v>1</v>
      </c>
      <c r="W15" s="4">
        <v>0.111</v>
      </c>
      <c r="X15" s="4">
        <v>1</v>
      </c>
      <c r="Y15" s="4">
        <v>1</v>
      </c>
      <c r="Z15" s="12">
        <v>0.33300000000000002</v>
      </c>
      <c r="AA15" s="13">
        <f t="shared" si="0"/>
        <v>18.109000000000002</v>
      </c>
      <c r="AB15" s="14">
        <f t="shared" si="1"/>
        <v>1.4618084481210972E-2</v>
      </c>
    </row>
    <row r="16" spans="1:28" x14ac:dyDescent="0.3">
      <c r="A16" s="1" t="s">
        <v>14</v>
      </c>
      <c r="B16" s="4">
        <v>1</v>
      </c>
      <c r="C16" s="4">
        <v>1</v>
      </c>
      <c r="D16" s="4">
        <v>0.111</v>
      </c>
      <c r="E16" s="4">
        <v>1</v>
      </c>
      <c r="F16" s="4">
        <v>1</v>
      </c>
      <c r="G16" s="4">
        <v>0.33300000000000002</v>
      </c>
      <c r="H16" s="4">
        <v>0.111</v>
      </c>
      <c r="I16" s="4">
        <v>1</v>
      </c>
      <c r="J16" s="4">
        <v>1</v>
      </c>
      <c r="K16" s="4">
        <v>1</v>
      </c>
      <c r="L16" s="4">
        <v>0.33300000000000002</v>
      </c>
      <c r="M16" s="4">
        <v>0.33300000000000002</v>
      </c>
      <c r="N16" s="4">
        <v>1</v>
      </c>
      <c r="O16" s="4">
        <v>1</v>
      </c>
      <c r="P16" s="4">
        <v>1</v>
      </c>
      <c r="Q16" s="4">
        <v>1</v>
      </c>
      <c r="R16" s="4">
        <v>0.111</v>
      </c>
      <c r="S16" s="4">
        <v>0.33300000000000002</v>
      </c>
      <c r="T16" s="4">
        <v>1</v>
      </c>
      <c r="U16" s="4">
        <v>1</v>
      </c>
      <c r="V16" s="4">
        <v>1</v>
      </c>
      <c r="W16" s="4">
        <v>0.111</v>
      </c>
      <c r="X16" s="4">
        <v>1</v>
      </c>
      <c r="Y16" s="4">
        <v>1</v>
      </c>
      <c r="Z16" s="12">
        <v>0.33300000000000002</v>
      </c>
      <c r="AA16" s="13">
        <f t="shared" si="0"/>
        <v>18.109000000000002</v>
      </c>
      <c r="AB16" s="14">
        <f t="shared" si="1"/>
        <v>1.4618084481210972E-2</v>
      </c>
    </row>
    <row r="17" spans="1:28" x14ac:dyDescent="0.3">
      <c r="A17" s="1" t="s">
        <v>15</v>
      </c>
      <c r="B17" s="4">
        <v>1</v>
      </c>
      <c r="C17" s="4">
        <v>1</v>
      </c>
      <c r="D17" s="4">
        <v>0.111</v>
      </c>
      <c r="E17" s="4">
        <v>1</v>
      </c>
      <c r="F17" s="4">
        <v>1</v>
      </c>
      <c r="G17" s="4">
        <v>0.33300000000000002</v>
      </c>
      <c r="H17" s="4">
        <v>0.111</v>
      </c>
      <c r="I17" s="4">
        <v>1</v>
      </c>
      <c r="J17" s="4">
        <v>1</v>
      </c>
      <c r="K17" s="4">
        <v>1</v>
      </c>
      <c r="L17" s="4">
        <v>0.33300000000000002</v>
      </c>
      <c r="M17" s="4">
        <v>0.33300000000000002</v>
      </c>
      <c r="N17" s="4">
        <v>1</v>
      </c>
      <c r="O17" s="4">
        <v>1</v>
      </c>
      <c r="P17" s="4">
        <v>1</v>
      </c>
      <c r="Q17" s="4">
        <v>1</v>
      </c>
      <c r="R17" s="4">
        <v>0.111</v>
      </c>
      <c r="S17" s="4">
        <v>0.33300000000000002</v>
      </c>
      <c r="T17" s="4">
        <v>1</v>
      </c>
      <c r="U17" s="4">
        <v>1</v>
      </c>
      <c r="V17" s="4">
        <v>1</v>
      </c>
      <c r="W17" s="4">
        <v>0.111</v>
      </c>
      <c r="X17" s="4">
        <v>1</v>
      </c>
      <c r="Y17" s="4">
        <v>1</v>
      </c>
      <c r="Z17" s="12">
        <v>0.33300000000000002</v>
      </c>
      <c r="AA17" s="13">
        <f t="shared" si="0"/>
        <v>18.109000000000002</v>
      </c>
      <c r="AB17" s="14">
        <f t="shared" si="1"/>
        <v>1.4618084481210972E-2</v>
      </c>
    </row>
    <row r="18" spans="1:28" x14ac:dyDescent="0.3">
      <c r="A18" s="1" t="s">
        <v>16</v>
      </c>
      <c r="B18" s="4">
        <v>9</v>
      </c>
      <c r="C18" s="4">
        <v>9</v>
      </c>
      <c r="D18" s="4">
        <v>1</v>
      </c>
      <c r="E18" s="4">
        <v>9</v>
      </c>
      <c r="F18" s="4">
        <v>9</v>
      </c>
      <c r="G18" s="4">
        <v>5</v>
      </c>
      <c r="H18" s="4">
        <v>1</v>
      </c>
      <c r="I18" s="4">
        <v>9</v>
      </c>
      <c r="J18" s="4">
        <v>9</v>
      </c>
      <c r="K18" s="4">
        <v>9</v>
      </c>
      <c r="L18" s="4">
        <v>5</v>
      </c>
      <c r="M18" s="4">
        <v>5</v>
      </c>
      <c r="N18" s="4">
        <v>9</v>
      </c>
      <c r="O18" s="4">
        <v>9</v>
      </c>
      <c r="P18" s="4">
        <v>9</v>
      </c>
      <c r="Q18" s="4">
        <v>9</v>
      </c>
      <c r="R18" s="4">
        <v>1</v>
      </c>
      <c r="S18" s="4">
        <v>3</v>
      </c>
      <c r="T18" s="4">
        <v>9</v>
      </c>
      <c r="U18" s="4">
        <v>9</v>
      </c>
      <c r="V18" s="4">
        <v>9</v>
      </c>
      <c r="W18" s="4">
        <v>1</v>
      </c>
      <c r="X18" s="4">
        <v>9</v>
      </c>
      <c r="Y18" s="4">
        <v>9</v>
      </c>
      <c r="Z18" s="12">
        <v>3</v>
      </c>
      <c r="AA18" s="13">
        <f t="shared" si="0"/>
        <v>169</v>
      </c>
      <c r="AB18" s="14">
        <f t="shared" si="1"/>
        <v>0.13642146321302415</v>
      </c>
    </row>
    <row r="19" spans="1:28" x14ac:dyDescent="0.3">
      <c r="A19" s="1" t="s">
        <v>17</v>
      </c>
      <c r="B19" s="4">
        <v>3</v>
      </c>
      <c r="C19" s="4">
        <v>3</v>
      </c>
      <c r="D19" s="4">
        <v>0.33300000000000002</v>
      </c>
      <c r="E19" s="4">
        <v>3</v>
      </c>
      <c r="F19" s="4">
        <v>3</v>
      </c>
      <c r="G19" s="4">
        <v>2</v>
      </c>
      <c r="H19" s="4">
        <v>0.33300000000000002</v>
      </c>
      <c r="I19" s="4">
        <v>3</v>
      </c>
      <c r="J19" s="4">
        <v>3</v>
      </c>
      <c r="K19" s="4">
        <v>3</v>
      </c>
      <c r="L19" s="4">
        <v>2</v>
      </c>
      <c r="M19" s="4">
        <v>2</v>
      </c>
      <c r="N19" s="4">
        <v>3</v>
      </c>
      <c r="O19" s="4">
        <v>3</v>
      </c>
      <c r="P19" s="4">
        <v>3</v>
      </c>
      <c r="Q19" s="4">
        <v>3</v>
      </c>
      <c r="R19" s="4">
        <v>0.33300000000000002</v>
      </c>
      <c r="S19" s="4">
        <v>1</v>
      </c>
      <c r="T19" s="4">
        <v>3</v>
      </c>
      <c r="U19" s="4">
        <v>3</v>
      </c>
      <c r="V19" s="4">
        <v>3</v>
      </c>
      <c r="W19" s="4">
        <v>0.33300000000000002</v>
      </c>
      <c r="X19" s="4">
        <v>3</v>
      </c>
      <c r="Y19" s="4">
        <v>3</v>
      </c>
      <c r="Z19" s="12">
        <v>1</v>
      </c>
      <c r="AA19" s="13">
        <f t="shared" si="0"/>
        <v>57.331999999999994</v>
      </c>
      <c r="AB19" s="14">
        <f t="shared" si="1"/>
        <v>4.6279972360527215E-2</v>
      </c>
    </row>
    <row r="20" spans="1:28" x14ac:dyDescent="0.3">
      <c r="A20" s="1" t="s">
        <v>18</v>
      </c>
      <c r="B20" s="4">
        <v>1</v>
      </c>
      <c r="C20" s="4">
        <v>1</v>
      </c>
      <c r="D20" s="4">
        <v>0.111</v>
      </c>
      <c r="E20" s="4">
        <v>1</v>
      </c>
      <c r="F20" s="4">
        <v>1</v>
      </c>
      <c r="G20" s="4">
        <v>0.33300000000000002</v>
      </c>
      <c r="H20" s="4">
        <v>0.111</v>
      </c>
      <c r="I20" s="4">
        <v>1</v>
      </c>
      <c r="J20" s="4">
        <v>1</v>
      </c>
      <c r="K20" s="4">
        <v>1</v>
      </c>
      <c r="L20" s="4">
        <v>0.33300000000000002</v>
      </c>
      <c r="M20" s="4">
        <v>0.33300000000000002</v>
      </c>
      <c r="N20" s="4">
        <v>1</v>
      </c>
      <c r="O20" s="4">
        <v>1</v>
      </c>
      <c r="P20" s="4">
        <v>1</v>
      </c>
      <c r="Q20" s="4">
        <v>1</v>
      </c>
      <c r="R20" s="4">
        <v>0.111</v>
      </c>
      <c r="S20" s="4">
        <v>0.33300000000000002</v>
      </c>
      <c r="T20" s="4">
        <v>1</v>
      </c>
      <c r="U20" s="4">
        <v>1</v>
      </c>
      <c r="V20" s="4">
        <v>1</v>
      </c>
      <c r="W20" s="4">
        <v>0.111</v>
      </c>
      <c r="X20" s="4">
        <v>1</v>
      </c>
      <c r="Y20" s="4">
        <v>1</v>
      </c>
      <c r="Z20" s="12">
        <v>0.33300000000000002</v>
      </c>
      <c r="AA20" s="13">
        <f t="shared" si="0"/>
        <v>18.109000000000002</v>
      </c>
      <c r="AB20" s="14">
        <f t="shared" si="1"/>
        <v>1.4618084481210972E-2</v>
      </c>
    </row>
    <row r="21" spans="1:28" x14ac:dyDescent="0.3">
      <c r="A21" s="1" t="s">
        <v>19</v>
      </c>
      <c r="B21" s="4">
        <v>1</v>
      </c>
      <c r="C21" s="4">
        <v>1</v>
      </c>
      <c r="D21" s="4">
        <v>0.111</v>
      </c>
      <c r="E21" s="4">
        <v>1</v>
      </c>
      <c r="F21" s="4">
        <v>1</v>
      </c>
      <c r="G21" s="4">
        <v>0.33300000000000002</v>
      </c>
      <c r="H21" s="4">
        <v>0.111</v>
      </c>
      <c r="I21" s="4">
        <v>1</v>
      </c>
      <c r="J21" s="4">
        <v>1</v>
      </c>
      <c r="K21" s="4">
        <v>1</v>
      </c>
      <c r="L21" s="4">
        <v>0.33300000000000002</v>
      </c>
      <c r="M21" s="4">
        <v>0.33300000000000002</v>
      </c>
      <c r="N21" s="4">
        <v>1</v>
      </c>
      <c r="O21" s="4">
        <v>1</v>
      </c>
      <c r="P21" s="4">
        <v>1</v>
      </c>
      <c r="Q21" s="4">
        <v>1</v>
      </c>
      <c r="R21" s="4">
        <v>0.111</v>
      </c>
      <c r="S21" s="4">
        <v>0.33300000000000002</v>
      </c>
      <c r="T21" s="4">
        <v>1</v>
      </c>
      <c r="U21" s="4">
        <v>1</v>
      </c>
      <c r="V21" s="4">
        <v>1</v>
      </c>
      <c r="W21" s="4">
        <v>0.111</v>
      </c>
      <c r="X21" s="4">
        <v>1</v>
      </c>
      <c r="Y21" s="4">
        <v>1</v>
      </c>
      <c r="Z21" s="12">
        <v>0.33300000000000002</v>
      </c>
      <c r="AA21" s="13">
        <f t="shared" si="0"/>
        <v>18.109000000000002</v>
      </c>
      <c r="AB21" s="14">
        <f t="shared" si="1"/>
        <v>1.4618084481210972E-2</v>
      </c>
    </row>
    <row r="22" spans="1:28" x14ac:dyDescent="0.3">
      <c r="A22" s="1" t="s">
        <v>20</v>
      </c>
      <c r="B22" s="4">
        <v>1</v>
      </c>
      <c r="C22" s="4">
        <v>1</v>
      </c>
      <c r="D22" s="4">
        <v>0.111</v>
      </c>
      <c r="E22" s="4">
        <v>1</v>
      </c>
      <c r="F22" s="4">
        <v>1</v>
      </c>
      <c r="G22" s="4">
        <v>0.33300000000000002</v>
      </c>
      <c r="H22" s="4">
        <v>0.111</v>
      </c>
      <c r="I22" s="4">
        <v>1</v>
      </c>
      <c r="J22" s="4">
        <v>1</v>
      </c>
      <c r="K22" s="4">
        <v>1</v>
      </c>
      <c r="L22" s="4">
        <v>0.33300000000000002</v>
      </c>
      <c r="M22" s="4">
        <v>0.33300000000000002</v>
      </c>
      <c r="N22" s="4">
        <v>1</v>
      </c>
      <c r="O22" s="4">
        <v>1</v>
      </c>
      <c r="P22" s="4">
        <v>1</v>
      </c>
      <c r="Q22" s="4">
        <v>1</v>
      </c>
      <c r="R22" s="4">
        <v>0.111</v>
      </c>
      <c r="S22" s="4">
        <v>0.33300000000000002</v>
      </c>
      <c r="T22" s="4">
        <v>1</v>
      </c>
      <c r="U22" s="4">
        <v>1</v>
      </c>
      <c r="V22" s="4">
        <v>1</v>
      </c>
      <c r="W22" s="4">
        <v>0.111</v>
      </c>
      <c r="X22" s="4">
        <v>1</v>
      </c>
      <c r="Y22" s="4">
        <v>1</v>
      </c>
      <c r="Z22" s="12">
        <v>0.33300000000000002</v>
      </c>
      <c r="AA22" s="13">
        <f t="shared" si="0"/>
        <v>18.109000000000002</v>
      </c>
      <c r="AB22" s="14">
        <f t="shared" si="1"/>
        <v>1.4618084481210972E-2</v>
      </c>
    </row>
    <row r="23" spans="1:28" x14ac:dyDescent="0.3">
      <c r="A23" s="1" t="s">
        <v>21</v>
      </c>
      <c r="B23" s="4">
        <v>9</v>
      </c>
      <c r="C23" s="4">
        <v>9</v>
      </c>
      <c r="D23" s="4">
        <v>1</v>
      </c>
      <c r="E23" s="4">
        <v>9</v>
      </c>
      <c r="F23" s="4">
        <v>9</v>
      </c>
      <c r="G23" s="4">
        <v>5</v>
      </c>
      <c r="H23" s="4">
        <v>1</v>
      </c>
      <c r="I23" s="4">
        <v>9</v>
      </c>
      <c r="J23" s="4">
        <v>9</v>
      </c>
      <c r="K23" s="4">
        <v>9</v>
      </c>
      <c r="L23" s="4">
        <v>5</v>
      </c>
      <c r="M23" s="4">
        <v>5</v>
      </c>
      <c r="N23" s="4">
        <v>9</v>
      </c>
      <c r="O23" s="4">
        <v>9</v>
      </c>
      <c r="P23" s="4">
        <v>9</v>
      </c>
      <c r="Q23" s="4">
        <v>9</v>
      </c>
      <c r="R23" s="4">
        <v>1</v>
      </c>
      <c r="S23" s="4">
        <v>3</v>
      </c>
      <c r="T23" s="4">
        <v>9</v>
      </c>
      <c r="U23" s="4">
        <v>9</v>
      </c>
      <c r="V23" s="4">
        <v>9</v>
      </c>
      <c r="W23" s="4">
        <v>1</v>
      </c>
      <c r="X23" s="4">
        <v>9</v>
      </c>
      <c r="Y23" s="4">
        <v>9</v>
      </c>
      <c r="Z23" s="12">
        <v>3</v>
      </c>
      <c r="AA23" s="13">
        <f t="shared" si="0"/>
        <v>169</v>
      </c>
      <c r="AB23" s="14">
        <f t="shared" si="1"/>
        <v>0.13642146321302415</v>
      </c>
    </row>
    <row r="24" spans="1:28" x14ac:dyDescent="0.3">
      <c r="A24" s="1" t="s">
        <v>22</v>
      </c>
      <c r="B24" s="4">
        <v>1</v>
      </c>
      <c r="C24" s="4">
        <v>1</v>
      </c>
      <c r="D24" s="4">
        <v>0.111</v>
      </c>
      <c r="E24" s="4">
        <v>1</v>
      </c>
      <c r="F24" s="4">
        <v>1</v>
      </c>
      <c r="G24" s="4">
        <v>0.33300000000000002</v>
      </c>
      <c r="H24" s="4">
        <v>0.111</v>
      </c>
      <c r="I24" s="4">
        <v>1</v>
      </c>
      <c r="J24" s="4">
        <v>1</v>
      </c>
      <c r="K24" s="4">
        <v>1</v>
      </c>
      <c r="L24" s="4">
        <v>0.33300000000000002</v>
      </c>
      <c r="M24" s="4">
        <v>0.33300000000000002</v>
      </c>
      <c r="N24" s="4">
        <v>1</v>
      </c>
      <c r="O24" s="4">
        <v>1</v>
      </c>
      <c r="P24" s="4">
        <v>1</v>
      </c>
      <c r="Q24" s="4">
        <v>1</v>
      </c>
      <c r="R24" s="4">
        <v>0.111</v>
      </c>
      <c r="S24" s="4">
        <v>0.33300000000000002</v>
      </c>
      <c r="T24" s="4">
        <v>1</v>
      </c>
      <c r="U24" s="4">
        <v>1</v>
      </c>
      <c r="V24" s="4">
        <v>1</v>
      </c>
      <c r="W24" s="4">
        <v>0.111</v>
      </c>
      <c r="X24" s="4">
        <v>1</v>
      </c>
      <c r="Y24" s="4">
        <v>1</v>
      </c>
      <c r="Z24" s="12">
        <v>0.33300000000000002</v>
      </c>
      <c r="AA24" s="13">
        <f t="shared" si="0"/>
        <v>18.109000000000002</v>
      </c>
      <c r="AB24" s="14">
        <f t="shared" si="1"/>
        <v>1.4618084481210972E-2</v>
      </c>
    </row>
    <row r="25" spans="1:28" x14ac:dyDescent="0.3">
      <c r="A25" s="1" t="s">
        <v>23</v>
      </c>
      <c r="B25" s="4">
        <v>1</v>
      </c>
      <c r="C25" s="4">
        <v>1</v>
      </c>
      <c r="D25" s="4">
        <v>0.111</v>
      </c>
      <c r="E25" s="4">
        <v>1</v>
      </c>
      <c r="F25" s="4">
        <v>1</v>
      </c>
      <c r="G25" s="4">
        <v>0.33300000000000002</v>
      </c>
      <c r="H25" s="4">
        <v>0.111</v>
      </c>
      <c r="I25" s="4">
        <v>1</v>
      </c>
      <c r="J25" s="4">
        <v>1</v>
      </c>
      <c r="K25" s="4">
        <v>1</v>
      </c>
      <c r="L25" s="4">
        <v>0.33300000000000002</v>
      </c>
      <c r="M25" s="4">
        <v>0.33300000000000002</v>
      </c>
      <c r="N25" s="4">
        <v>1</v>
      </c>
      <c r="O25" s="4">
        <v>1</v>
      </c>
      <c r="P25" s="4">
        <v>1</v>
      </c>
      <c r="Q25" s="4">
        <v>1</v>
      </c>
      <c r="R25" s="4">
        <v>0.111</v>
      </c>
      <c r="S25" s="4">
        <v>0.33300000000000002</v>
      </c>
      <c r="T25" s="4">
        <v>1</v>
      </c>
      <c r="U25" s="4">
        <v>1</v>
      </c>
      <c r="V25" s="4">
        <v>1</v>
      </c>
      <c r="W25" s="4">
        <v>0.111</v>
      </c>
      <c r="X25" s="4">
        <v>1</v>
      </c>
      <c r="Y25" s="4">
        <v>1</v>
      </c>
      <c r="Z25" s="12">
        <v>0.33300000000000002</v>
      </c>
      <c r="AA25" s="13">
        <f t="shared" si="0"/>
        <v>18.109000000000002</v>
      </c>
      <c r="AB25" s="14">
        <f t="shared" si="1"/>
        <v>1.4618084481210972E-2</v>
      </c>
    </row>
    <row r="26" spans="1:28" x14ac:dyDescent="0.3">
      <c r="A26" s="1" t="s">
        <v>24</v>
      </c>
      <c r="B26" s="4">
        <v>3</v>
      </c>
      <c r="C26" s="4">
        <v>3</v>
      </c>
      <c r="D26" s="4">
        <v>0.33300000000000002</v>
      </c>
      <c r="E26" s="4">
        <v>3</v>
      </c>
      <c r="F26" s="4">
        <v>3</v>
      </c>
      <c r="G26" s="4">
        <v>2</v>
      </c>
      <c r="H26" s="4">
        <v>0.33300000000000002</v>
      </c>
      <c r="I26" s="4">
        <v>3</v>
      </c>
      <c r="J26" s="4">
        <v>3</v>
      </c>
      <c r="K26" s="4">
        <v>3</v>
      </c>
      <c r="L26" s="4">
        <v>2</v>
      </c>
      <c r="M26" s="4">
        <v>2</v>
      </c>
      <c r="N26" s="4">
        <v>3</v>
      </c>
      <c r="O26" s="4">
        <v>3</v>
      </c>
      <c r="P26" s="4">
        <v>3</v>
      </c>
      <c r="Q26" s="4">
        <v>3</v>
      </c>
      <c r="R26" s="4">
        <v>0.33300000000000002</v>
      </c>
      <c r="S26" s="4">
        <v>1</v>
      </c>
      <c r="T26" s="4">
        <v>3</v>
      </c>
      <c r="U26" s="4">
        <v>3</v>
      </c>
      <c r="V26" s="4">
        <v>3</v>
      </c>
      <c r="W26" s="4">
        <v>0.33300000000000002</v>
      </c>
      <c r="X26" s="4">
        <v>3</v>
      </c>
      <c r="Y26" s="4">
        <v>3</v>
      </c>
      <c r="Z26" s="12">
        <v>1</v>
      </c>
      <c r="AA26" s="13">
        <f t="shared" si="0"/>
        <v>57.331999999999994</v>
      </c>
      <c r="AB26" s="14">
        <f t="shared" si="1"/>
        <v>4.6279972360527215E-2</v>
      </c>
    </row>
    <row r="27" spans="1:28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3">
        <f>SUM(AA2:AA26)</f>
        <v>1238.808</v>
      </c>
      <c r="AB27" s="14">
        <f>SUM(AB2:AB26)</f>
        <v>0.99999999999999978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DA95-CBA6-4521-A81A-BECAB8BDE5F3}">
  <dimension ref="A1:AB27"/>
  <sheetViews>
    <sheetView topLeftCell="G1" workbookViewId="0">
      <selection activeCell="AB2" sqref="AB2:AB26"/>
    </sheetView>
  </sheetViews>
  <sheetFormatPr defaultRowHeight="14.4" x14ac:dyDescent="0.3"/>
  <cols>
    <col min="27" max="27" width="14.33203125" customWidth="1"/>
    <col min="28" max="28" width="13" customWidth="1"/>
  </cols>
  <sheetData>
    <row r="1" spans="1:28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9" t="s">
        <v>24</v>
      </c>
      <c r="AA1" s="10" t="s">
        <v>25</v>
      </c>
      <c r="AB1" s="11" t="s">
        <v>26</v>
      </c>
    </row>
    <row r="2" spans="1:28" x14ac:dyDescent="0.3">
      <c r="A2" s="1" t="s">
        <v>0</v>
      </c>
      <c r="B2" s="4">
        <v>1</v>
      </c>
      <c r="C2" s="4">
        <v>1</v>
      </c>
      <c r="D2" s="4">
        <v>3</v>
      </c>
      <c r="E2" s="4">
        <v>3</v>
      </c>
      <c r="F2" s="4">
        <v>1</v>
      </c>
      <c r="G2" s="4">
        <v>3</v>
      </c>
      <c r="H2" s="4">
        <v>3</v>
      </c>
      <c r="I2" s="4">
        <v>0.2</v>
      </c>
      <c r="J2" s="4">
        <v>0.2</v>
      </c>
      <c r="K2" s="4">
        <v>0.2</v>
      </c>
      <c r="L2" s="4">
        <v>3</v>
      </c>
      <c r="M2" s="4">
        <v>3</v>
      </c>
      <c r="N2" s="4">
        <v>0.33300000000000002</v>
      </c>
      <c r="O2" s="4">
        <v>0.2</v>
      </c>
      <c r="P2" s="4">
        <v>3</v>
      </c>
      <c r="Q2" s="4">
        <v>3</v>
      </c>
      <c r="R2" s="4">
        <v>3</v>
      </c>
      <c r="S2" s="4">
        <v>3</v>
      </c>
      <c r="T2" s="4">
        <v>3</v>
      </c>
      <c r="U2" s="4">
        <v>0.2</v>
      </c>
      <c r="V2" s="4">
        <v>0.33300000000000002</v>
      </c>
      <c r="W2" s="4">
        <v>3</v>
      </c>
      <c r="X2" s="4">
        <v>0.33300000000000002</v>
      </c>
      <c r="Y2" s="4">
        <v>3</v>
      </c>
      <c r="Z2" s="12">
        <v>3</v>
      </c>
      <c r="AA2" s="13">
        <f>SUM(B2:Z2)</f>
        <v>46.998999999999995</v>
      </c>
      <c r="AB2" s="14">
        <f>AA2/$AA$27</f>
        <v>3.3735827062164256E-2</v>
      </c>
    </row>
    <row r="3" spans="1:28" x14ac:dyDescent="0.3">
      <c r="A3" s="1" t="s">
        <v>1</v>
      </c>
      <c r="B3" s="4">
        <v>1</v>
      </c>
      <c r="C3" s="4">
        <v>1</v>
      </c>
      <c r="D3" s="4">
        <v>3</v>
      </c>
      <c r="E3" s="4">
        <v>3</v>
      </c>
      <c r="F3" s="4">
        <v>1</v>
      </c>
      <c r="G3" s="4">
        <v>3</v>
      </c>
      <c r="H3" s="4">
        <v>3</v>
      </c>
      <c r="I3" s="4">
        <v>0.2</v>
      </c>
      <c r="J3" s="4">
        <v>0.2</v>
      </c>
      <c r="K3" s="4">
        <v>0.2</v>
      </c>
      <c r="L3" s="4">
        <v>3</v>
      </c>
      <c r="M3" s="4">
        <v>3</v>
      </c>
      <c r="N3" s="4">
        <v>0.33300000000000002</v>
      </c>
      <c r="O3" s="4">
        <v>0.2</v>
      </c>
      <c r="P3" s="4">
        <v>3</v>
      </c>
      <c r="Q3" s="4">
        <v>3</v>
      </c>
      <c r="R3" s="4">
        <v>3</v>
      </c>
      <c r="S3" s="4">
        <v>3</v>
      </c>
      <c r="T3" s="4">
        <v>3</v>
      </c>
      <c r="U3" s="4">
        <v>0.2</v>
      </c>
      <c r="V3" s="4">
        <v>0.33300000000000002</v>
      </c>
      <c r="W3" s="4">
        <v>3</v>
      </c>
      <c r="X3" s="4">
        <v>0.33300000000000002</v>
      </c>
      <c r="Y3" s="4">
        <v>3</v>
      </c>
      <c r="Z3" s="12">
        <v>3</v>
      </c>
      <c r="AA3" s="13">
        <f t="shared" ref="AA3:AA26" si="0">SUM(B3:Z3)</f>
        <v>46.998999999999995</v>
      </c>
      <c r="AB3" s="14">
        <f t="shared" ref="AB3:AB26" si="1">AA3/$AA$27</f>
        <v>3.3735827062164256E-2</v>
      </c>
    </row>
    <row r="4" spans="1:28" x14ac:dyDescent="0.3">
      <c r="A4" s="1" t="s">
        <v>2</v>
      </c>
      <c r="B4" s="4">
        <v>0.33300000000000002</v>
      </c>
      <c r="C4" s="4">
        <v>0.33300000000000002</v>
      </c>
      <c r="D4" s="4">
        <v>1</v>
      </c>
      <c r="E4" s="4">
        <v>1</v>
      </c>
      <c r="F4" s="4">
        <v>0.33300000000000002</v>
      </c>
      <c r="G4" s="4">
        <v>1</v>
      </c>
      <c r="H4" s="4">
        <v>1</v>
      </c>
      <c r="I4" s="4">
        <v>0.111</v>
      </c>
      <c r="J4" s="4">
        <v>0.111</v>
      </c>
      <c r="K4" s="4">
        <v>0.111</v>
      </c>
      <c r="L4" s="4">
        <v>1</v>
      </c>
      <c r="M4" s="4">
        <v>1</v>
      </c>
      <c r="N4" s="4">
        <v>0.2</v>
      </c>
      <c r="O4" s="4">
        <v>0.111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0.111</v>
      </c>
      <c r="V4" s="4">
        <v>0.2</v>
      </c>
      <c r="W4" s="4">
        <v>1</v>
      </c>
      <c r="X4" s="4">
        <v>0.2</v>
      </c>
      <c r="Y4" s="4">
        <v>1</v>
      </c>
      <c r="Z4" s="12">
        <v>1</v>
      </c>
      <c r="AA4" s="13">
        <f t="shared" si="0"/>
        <v>16.154</v>
      </c>
      <c r="AB4" s="14">
        <f t="shared" si="1"/>
        <v>1.159532224860532E-2</v>
      </c>
    </row>
    <row r="5" spans="1:28" x14ac:dyDescent="0.3">
      <c r="A5" s="1" t="s">
        <v>3</v>
      </c>
      <c r="B5" s="4">
        <v>0.33300000000000002</v>
      </c>
      <c r="C5" s="4">
        <v>0.33300000000000002</v>
      </c>
      <c r="D5" s="4">
        <v>1</v>
      </c>
      <c r="E5" s="4">
        <v>1</v>
      </c>
      <c r="F5" s="4">
        <v>0.33300000000000002</v>
      </c>
      <c r="G5" s="4">
        <v>1</v>
      </c>
      <c r="H5" s="4">
        <v>1</v>
      </c>
      <c r="I5" s="4">
        <v>0.111</v>
      </c>
      <c r="J5" s="4">
        <v>0.111</v>
      </c>
      <c r="K5" s="4">
        <v>0.111</v>
      </c>
      <c r="L5" s="4">
        <v>1</v>
      </c>
      <c r="M5" s="4">
        <v>1</v>
      </c>
      <c r="N5" s="4">
        <v>0.2</v>
      </c>
      <c r="O5" s="4">
        <v>0.111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0.111</v>
      </c>
      <c r="V5" s="4">
        <v>0.2</v>
      </c>
      <c r="W5" s="4">
        <v>1</v>
      </c>
      <c r="X5" s="4">
        <v>0.2</v>
      </c>
      <c r="Y5" s="4">
        <v>1</v>
      </c>
      <c r="Z5" s="12">
        <v>1</v>
      </c>
      <c r="AA5" s="13">
        <f t="shared" si="0"/>
        <v>16.154</v>
      </c>
      <c r="AB5" s="14">
        <f t="shared" si="1"/>
        <v>1.159532224860532E-2</v>
      </c>
    </row>
    <row r="6" spans="1:28" x14ac:dyDescent="0.3">
      <c r="A6" s="1" t="s">
        <v>4</v>
      </c>
      <c r="B6" s="4">
        <v>1</v>
      </c>
      <c r="C6" s="4">
        <v>1</v>
      </c>
      <c r="D6" s="4">
        <v>3</v>
      </c>
      <c r="E6" s="4">
        <v>3</v>
      </c>
      <c r="F6" s="4">
        <v>1</v>
      </c>
      <c r="G6" s="4">
        <v>3</v>
      </c>
      <c r="H6" s="4">
        <v>3</v>
      </c>
      <c r="I6" s="4">
        <v>0.2</v>
      </c>
      <c r="J6" s="4">
        <v>0.2</v>
      </c>
      <c r="K6" s="4">
        <v>0.2</v>
      </c>
      <c r="L6" s="4">
        <v>3</v>
      </c>
      <c r="M6" s="4">
        <v>3</v>
      </c>
      <c r="N6" s="4">
        <v>0.33300000000000002</v>
      </c>
      <c r="O6" s="4">
        <v>0.2</v>
      </c>
      <c r="P6" s="4">
        <v>3</v>
      </c>
      <c r="Q6" s="4">
        <v>3</v>
      </c>
      <c r="R6" s="4">
        <v>3</v>
      </c>
      <c r="S6" s="4">
        <v>3</v>
      </c>
      <c r="T6" s="4">
        <v>3</v>
      </c>
      <c r="U6" s="4">
        <v>0.2</v>
      </c>
      <c r="V6" s="4">
        <v>0.33300000000000002</v>
      </c>
      <c r="W6" s="4">
        <v>3</v>
      </c>
      <c r="X6" s="4">
        <v>0.33300000000000002</v>
      </c>
      <c r="Y6" s="4">
        <v>3</v>
      </c>
      <c r="Z6" s="12">
        <v>3</v>
      </c>
      <c r="AA6" s="13">
        <f t="shared" si="0"/>
        <v>46.998999999999995</v>
      </c>
      <c r="AB6" s="14">
        <f t="shared" si="1"/>
        <v>3.3735827062164256E-2</v>
      </c>
    </row>
    <row r="7" spans="1:28" x14ac:dyDescent="0.3">
      <c r="A7" s="1" t="s">
        <v>5</v>
      </c>
      <c r="B7" s="4">
        <v>0.33300000000000002</v>
      </c>
      <c r="C7" s="4">
        <v>0.33300000000000002</v>
      </c>
      <c r="D7" s="4">
        <v>1</v>
      </c>
      <c r="E7" s="4">
        <v>1</v>
      </c>
      <c r="F7" s="4">
        <v>0.33300000000000002</v>
      </c>
      <c r="G7" s="4">
        <v>1</v>
      </c>
      <c r="H7" s="4">
        <v>1</v>
      </c>
      <c r="I7" s="4">
        <v>0.111</v>
      </c>
      <c r="J7" s="4">
        <v>0.111</v>
      </c>
      <c r="K7" s="4">
        <v>0.111</v>
      </c>
      <c r="L7" s="4">
        <v>1</v>
      </c>
      <c r="M7" s="4">
        <v>1</v>
      </c>
      <c r="N7" s="4">
        <v>0.2</v>
      </c>
      <c r="O7" s="4">
        <v>0.111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0.111</v>
      </c>
      <c r="V7" s="4">
        <v>0.2</v>
      </c>
      <c r="W7" s="4">
        <v>1</v>
      </c>
      <c r="X7" s="4">
        <v>0.2</v>
      </c>
      <c r="Y7" s="4">
        <v>1</v>
      </c>
      <c r="Z7" s="12">
        <v>1</v>
      </c>
      <c r="AA7" s="13">
        <f t="shared" si="0"/>
        <v>16.154</v>
      </c>
      <c r="AB7" s="14">
        <f t="shared" si="1"/>
        <v>1.159532224860532E-2</v>
      </c>
    </row>
    <row r="8" spans="1:28" x14ac:dyDescent="0.3">
      <c r="A8" s="1" t="s">
        <v>6</v>
      </c>
      <c r="B8" s="4">
        <v>0.33300000000000002</v>
      </c>
      <c r="C8" s="4">
        <v>0.33300000000000002</v>
      </c>
      <c r="D8" s="4">
        <v>1</v>
      </c>
      <c r="E8" s="4">
        <v>1</v>
      </c>
      <c r="F8" s="4">
        <v>0.33300000000000002</v>
      </c>
      <c r="G8" s="4">
        <v>1</v>
      </c>
      <c r="H8" s="4">
        <v>1</v>
      </c>
      <c r="I8" s="4">
        <v>0.111</v>
      </c>
      <c r="J8" s="4">
        <v>0.111</v>
      </c>
      <c r="K8" s="4">
        <v>0.111</v>
      </c>
      <c r="L8" s="4">
        <v>1</v>
      </c>
      <c r="M8" s="4">
        <v>1</v>
      </c>
      <c r="N8" s="4">
        <v>0.2</v>
      </c>
      <c r="O8" s="4">
        <v>0.111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0.111</v>
      </c>
      <c r="V8" s="4">
        <v>0.2</v>
      </c>
      <c r="W8" s="4">
        <v>1</v>
      </c>
      <c r="X8" s="4">
        <v>0.2</v>
      </c>
      <c r="Y8" s="4">
        <v>1</v>
      </c>
      <c r="Z8" s="12">
        <v>1</v>
      </c>
      <c r="AA8" s="13">
        <f t="shared" si="0"/>
        <v>16.154</v>
      </c>
      <c r="AB8" s="14">
        <f t="shared" si="1"/>
        <v>1.159532224860532E-2</v>
      </c>
    </row>
    <row r="9" spans="1:28" x14ac:dyDescent="0.3">
      <c r="A9" s="1" t="s">
        <v>7</v>
      </c>
      <c r="B9" s="4">
        <v>5</v>
      </c>
      <c r="C9" s="4">
        <v>5</v>
      </c>
      <c r="D9" s="4">
        <v>9</v>
      </c>
      <c r="E9" s="4">
        <v>9</v>
      </c>
      <c r="F9" s="4">
        <v>5</v>
      </c>
      <c r="G9" s="4">
        <v>9</v>
      </c>
      <c r="H9" s="4">
        <v>9</v>
      </c>
      <c r="I9" s="4">
        <v>1</v>
      </c>
      <c r="J9" s="4">
        <v>1</v>
      </c>
      <c r="K9" s="4">
        <v>1</v>
      </c>
      <c r="L9" s="4">
        <v>9</v>
      </c>
      <c r="M9" s="4">
        <v>9</v>
      </c>
      <c r="N9" s="4">
        <v>3</v>
      </c>
      <c r="O9" s="4">
        <v>1</v>
      </c>
      <c r="P9" s="4">
        <v>9</v>
      </c>
      <c r="Q9" s="4">
        <v>9</v>
      </c>
      <c r="R9" s="4">
        <v>9</v>
      </c>
      <c r="S9" s="4">
        <v>9</v>
      </c>
      <c r="T9" s="4">
        <v>9</v>
      </c>
      <c r="U9" s="4">
        <v>1</v>
      </c>
      <c r="V9" s="4">
        <v>3</v>
      </c>
      <c r="W9" s="4">
        <v>9</v>
      </c>
      <c r="X9" s="4">
        <v>3</v>
      </c>
      <c r="Y9" s="4">
        <v>9</v>
      </c>
      <c r="Z9" s="12">
        <v>9</v>
      </c>
      <c r="AA9" s="13">
        <f t="shared" si="0"/>
        <v>155</v>
      </c>
      <c r="AB9" s="14">
        <f t="shared" si="1"/>
        <v>0.11125881815858762</v>
      </c>
    </row>
    <row r="10" spans="1:28" x14ac:dyDescent="0.3">
      <c r="A10" s="1" t="s">
        <v>8</v>
      </c>
      <c r="B10" s="4">
        <v>5</v>
      </c>
      <c r="C10" s="4">
        <v>5</v>
      </c>
      <c r="D10" s="4">
        <v>9</v>
      </c>
      <c r="E10" s="4">
        <v>9</v>
      </c>
      <c r="F10" s="4">
        <v>5</v>
      </c>
      <c r="G10" s="4">
        <v>9</v>
      </c>
      <c r="H10" s="4">
        <v>9</v>
      </c>
      <c r="I10" s="4">
        <v>1</v>
      </c>
      <c r="J10" s="4">
        <v>1</v>
      </c>
      <c r="K10" s="4">
        <v>1</v>
      </c>
      <c r="L10" s="4">
        <v>9</v>
      </c>
      <c r="M10" s="4">
        <v>9</v>
      </c>
      <c r="N10" s="4">
        <v>3</v>
      </c>
      <c r="O10" s="4">
        <v>1</v>
      </c>
      <c r="P10" s="4">
        <v>9</v>
      </c>
      <c r="Q10" s="4">
        <v>9</v>
      </c>
      <c r="R10" s="4">
        <v>9</v>
      </c>
      <c r="S10" s="4">
        <v>9</v>
      </c>
      <c r="T10" s="4">
        <v>9</v>
      </c>
      <c r="U10" s="4">
        <v>1</v>
      </c>
      <c r="V10" s="4">
        <v>3</v>
      </c>
      <c r="W10" s="4">
        <v>9</v>
      </c>
      <c r="X10" s="4">
        <v>3</v>
      </c>
      <c r="Y10" s="4">
        <v>9</v>
      </c>
      <c r="Z10" s="12">
        <v>9</v>
      </c>
      <c r="AA10" s="13">
        <f t="shared" si="0"/>
        <v>155</v>
      </c>
      <c r="AB10" s="14">
        <f t="shared" si="1"/>
        <v>0.11125881815858762</v>
      </c>
    </row>
    <row r="11" spans="1:28" x14ac:dyDescent="0.3">
      <c r="A11" s="1" t="s">
        <v>9</v>
      </c>
      <c r="B11" s="4">
        <v>5</v>
      </c>
      <c r="C11" s="4">
        <v>5</v>
      </c>
      <c r="D11" s="4">
        <v>9</v>
      </c>
      <c r="E11" s="4">
        <v>9</v>
      </c>
      <c r="F11" s="4">
        <v>5</v>
      </c>
      <c r="G11" s="4">
        <v>9</v>
      </c>
      <c r="H11" s="4">
        <v>9</v>
      </c>
      <c r="I11" s="4">
        <v>1</v>
      </c>
      <c r="J11" s="4">
        <v>1</v>
      </c>
      <c r="K11" s="4">
        <v>1</v>
      </c>
      <c r="L11" s="4">
        <v>9</v>
      </c>
      <c r="M11" s="4">
        <v>9</v>
      </c>
      <c r="N11" s="4">
        <v>3</v>
      </c>
      <c r="O11" s="4">
        <v>1</v>
      </c>
      <c r="P11" s="4">
        <v>9</v>
      </c>
      <c r="Q11" s="4">
        <v>9</v>
      </c>
      <c r="R11" s="4">
        <v>9</v>
      </c>
      <c r="S11" s="4">
        <v>9</v>
      </c>
      <c r="T11" s="4">
        <v>9</v>
      </c>
      <c r="U11" s="4">
        <v>1</v>
      </c>
      <c r="V11" s="4">
        <v>3</v>
      </c>
      <c r="W11" s="4">
        <v>9</v>
      </c>
      <c r="X11" s="4">
        <v>3</v>
      </c>
      <c r="Y11" s="4">
        <v>9</v>
      </c>
      <c r="Z11" s="12">
        <v>9</v>
      </c>
      <c r="AA11" s="13">
        <f t="shared" si="0"/>
        <v>155</v>
      </c>
      <c r="AB11" s="14">
        <f t="shared" si="1"/>
        <v>0.11125881815858762</v>
      </c>
    </row>
    <row r="12" spans="1:28" x14ac:dyDescent="0.3">
      <c r="A12" s="1" t="s">
        <v>10</v>
      </c>
      <c r="B12" s="4">
        <v>0.33300000000000002</v>
      </c>
      <c r="C12" s="4">
        <v>0.33300000000000002</v>
      </c>
      <c r="D12" s="4">
        <v>1</v>
      </c>
      <c r="E12" s="4">
        <v>1</v>
      </c>
      <c r="F12" s="4">
        <v>0.33300000000000002</v>
      </c>
      <c r="G12" s="4">
        <v>1</v>
      </c>
      <c r="H12" s="4">
        <v>1</v>
      </c>
      <c r="I12" s="4">
        <v>0.111</v>
      </c>
      <c r="J12" s="4">
        <v>0.111</v>
      </c>
      <c r="K12" s="4">
        <v>0.111</v>
      </c>
      <c r="L12" s="4">
        <v>1</v>
      </c>
      <c r="M12" s="4">
        <v>1</v>
      </c>
      <c r="N12" s="4">
        <v>0.2</v>
      </c>
      <c r="O12" s="4">
        <v>0.111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0.111</v>
      </c>
      <c r="V12" s="4">
        <v>0.2</v>
      </c>
      <c r="W12" s="4">
        <v>1</v>
      </c>
      <c r="X12" s="4">
        <v>0.2</v>
      </c>
      <c r="Y12" s="4">
        <v>1</v>
      </c>
      <c r="Z12" s="12">
        <v>1</v>
      </c>
      <c r="AA12" s="13">
        <f t="shared" si="0"/>
        <v>16.154</v>
      </c>
      <c r="AB12" s="14">
        <f t="shared" si="1"/>
        <v>1.159532224860532E-2</v>
      </c>
    </row>
    <row r="13" spans="1:28" x14ac:dyDescent="0.3">
      <c r="A13" s="1" t="s">
        <v>11</v>
      </c>
      <c r="B13" s="4">
        <v>0.33300000000000002</v>
      </c>
      <c r="C13" s="4">
        <v>0.33300000000000002</v>
      </c>
      <c r="D13" s="4">
        <v>1</v>
      </c>
      <c r="E13" s="4">
        <v>1</v>
      </c>
      <c r="F13" s="4">
        <v>0.33300000000000002</v>
      </c>
      <c r="G13" s="4">
        <v>1</v>
      </c>
      <c r="H13" s="4">
        <v>1</v>
      </c>
      <c r="I13" s="4">
        <v>0.111</v>
      </c>
      <c r="J13" s="4">
        <v>0.111</v>
      </c>
      <c r="K13" s="4">
        <v>0.111</v>
      </c>
      <c r="L13" s="4">
        <v>1</v>
      </c>
      <c r="M13" s="4">
        <v>1</v>
      </c>
      <c r="N13" s="4">
        <v>0.2</v>
      </c>
      <c r="O13" s="4">
        <v>0.111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0.111</v>
      </c>
      <c r="V13" s="4">
        <v>0.2</v>
      </c>
      <c r="W13" s="4">
        <v>1</v>
      </c>
      <c r="X13" s="4">
        <v>0.2</v>
      </c>
      <c r="Y13" s="4">
        <v>1</v>
      </c>
      <c r="Z13" s="12">
        <v>1</v>
      </c>
      <c r="AA13" s="13">
        <f t="shared" si="0"/>
        <v>16.154</v>
      </c>
      <c r="AB13" s="14">
        <f t="shared" si="1"/>
        <v>1.159532224860532E-2</v>
      </c>
    </row>
    <row r="14" spans="1:28" x14ac:dyDescent="0.3">
      <c r="A14" s="1" t="s">
        <v>12</v>
      </c>
      <c r="B14" s="4">
        <v>3</v>
      </c>
      <c r="C14" s="4">
        <v>3</v>
      </c>
      <c r="D14" s="4">
        <v>5</v>
      </c>
      <c r="E14" s="4">
        <v>5</v>
      </c>
      <c r="F14" s="4">
        <v>3</v>
      </c>
      <c r="G14" s="4">
        <v>5</v>
      </c>
      <c r="H14" s="4">
        <v>5</v>
      </c>
      <c r="I14" s="4">
        <v>0.33300000000000002</v>
      </c>
      <c r="J14" s="4">
        <v>0.33300000000000002</v>
      </c>
      <c r="K14" s="4">
        <v>0.33300000000000002</v>
      </c>
      <c r="L14" s="4">
        <v>5</v>
      </c>
      <c r="M14" s="4">
        <v>5</v>
      </c>
      <c r="N14" s="4">
        <v>1</v>
      </c>
      <c r="O14" s="4">
        <v>0.33300000000000002</v>
      </c>
      <c r="P14" s="4">
        <v>5</v>
      </c>
      <c r="Q14" s="4">
        <v>5</v>
      </c>
      <c r="R14" s="4">
        <v>5</v>
      </c>
      <c r="S14" s="4">
        <v>5</v>
      </c>
      <c r="T14" s="4">
        <v>5</v>
      </c>
      <c r="U14" s="4">
        <v>0.33300000000000002</v>
      </c>
      <c r="V14" s="4">
        <v>1</v>
      </c>
      <c r="W14" s="4">
        <v>5</v>
      </c>
      <c r="X14" s="4">
        <v>1</v>
      </c>
      <c r="Y14" s="4">
        <v>5</v>
      </c>
      <c r="Z14" s="12">
        <v>5</v>
      </c>
      <c r="AA14" s="13">
        <f t="shared" si="0"/>
        <v>83.664999999999992</v>
      </c>
      <c r="AB14" s="14">
        <f t="shared" si="1"/>
        <v>6.0054638846698274E-2</v>
      </c>
    </row>
    <row r="15" spans="1:28" x14ac:dyDescent="0.3">
      <c r="A15" s="1" t="s">
        <v>13</v>
      </c>
      <c r="B15" s="4">
        <v>5</v>
      </c>
      <c r="C15" s="4">
        <v>5</v>
      </c>
      <c r="D15" s="4">
        <v>9</v>
      </c>
      <c r="E15" s="4">
        <v>9</v>
      </c>
      <c r="F15" s="4">
        <v>5</v>
      </c>
      <c r="G15" s="4">
        <v>9</v>
      </c>
      <c r="H15" s="4">
        <v>9</v>
      </c>
      <c r="I15" s="4">
        <v>1</v>
      </c>
      <c r="J15" s="4">
        <v>1</v>
      </c>
      <c r="K15" s="4">
        <v>1</v>
      </c>
      <c r="L15" s="4">
        <v>9</v>
      </c>
      <c r="M15" s="4">
        <v>9</v>
      </c>
      <c r="N15" s="4">
        <v>3</v>
      </c>
      <c r="O15" s="4">
        <v>1</v>
      </c>
      <c r="P15" s="4">
        <v>9</v>
      </c>
      <c r="Q15" s="4">
        <v>9</v>
      </c>
      <c r="R15" s="4">
        <v>9</v>
      </c>
      <c r="S15" s="4">
        <v>9</v>
      </c>
      <c r="T15" s="4">
        <v>9</v>
      </c>
      <c r="U15" s="4">
        <v>1</v>
      </c>
      <c r="V15" s="4">
        <v>3</v>
      </c>
      <c r="W15" s="4">
        <v>9</v>
      </c>
      <c r="X15" s="4">
        <v>3</v>
      </c>
      <c r="Y15" s="4">
        <v>9</v>
      </c>
      <c r="Z15" s="12">
        <v>9</v>
      </c>
      <c r="AA15" s="13">
        <f t="shared" si="0"/>
        <v>155</v>
      </c>
      <c r="AB15" s="14">
        <f t="shared" si="1"/>
        <v>0.11125881815858762</v>
      </c>
    </row>
    <row r="16" spans="1:28" x14ac:dyDescent="0.3">
      <c r="A16" s="1" t="s">
        <v>14</v>
      </c>
      <c r="B16" s="4">
        <v>0.33300000000000002</v>
      </c>
      <c r="C16" s="4">
        <v>0.33300000000000002</v>
      </c>
      <c r="D16" s="4">
        <v>1</v>
      </c>
      <c r="E16" s="4">
        <v>1</v>
      </c>
      <c r="F16" s="4">
        <v>0.33300000000000002</v>
      </c>
      <c r="G16" s="4">
        <v>1</v>
      </c>
      <c r="H16" s="4">
        <v>1</v>
      </c>
      <c r="I16" s="4">
        <v>0.111</v>
      </c>
      <c r="J16" s="4">
        <v>0.111</v>
      </c>
      <c r="K16" s="4">
        <v>0.111</v>
      </c>
      <c r="L16" s="4">
        <v>1</v>
      </c>
      <c r="M16" s="4">
        <v>1</v>
      </c>
      <c r="N16" s="4">
        <v>0.2</v>
      </c>
      <c r="O16" s="4">
        <v>0.111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0.111</v>
      </c>
      <c r="V16" s="4">
        <v>0.2</v>
      </c>
      <c r="W16" s="4">
        <v>1</v>
      </c>
      <c r="X16" s="4">
        <v>0.2</v>
      </c>
      <c r="Y16" s="4">
        <v>1</v>
      </c>
      <c r="Z16" s="12">
        <v>1</v>
      </c>
      <c r="AA16" s="13">
        <f t="shared" si="0"/>
        <v>16.154</v>
      </c>
      <c r="AB16" s="14">
        <f t="shared" si="1"/>
        <v>1.159532224860532E-2</v>
      </c>
    </row>
    <row r="17" spans="1:28" x14ac:dyDescent="0.3">
      <c r="A17" s="1" t="s">
        <v>15</v>
      </c>
      <c r="B17" s="4">
        <v>0.33300000000000002</v>
      </c>
      <c r="C17" s="4">
        <v>0.33300000000000002</v>
      </c>
      <c r="D17" s="4">
        <v>1</v>
      </c>
      <c r="E17" s="4">
        <v>1</v>
      </c>
      <c r="F17" s="4">
        <v>0.33300000000000002</v>
      </c>
      <c r="G17" s="4">
        <v>1</v>
      </c>
      <c r="H17" s="4">
        <v>1</v>
      </c>
      <c r="I17" s="4">
        <v>0.111</v>
      </c>
      <c r="J17" s="4">
        <v>0.111</v>
      </c>
      <c r="K17" s="4">
        <v>0.111</v>
      </c>
      <c r="L17" s="4">
        <v>1</v>
      </c>
      <c r="M17" s="4">
        <v>1</v>
      </c>
      <c r="N17" s="4">
        <v>0.2</v>
      </c>
      <c r="O17" s="4">
        <v>0.111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0.111</v>
      </c>
      <c r="V17" s="4">
        <v>0.2</v>
      </c>
      <c r="W17" s="4">
        <v>1</v>
      </c>
      <c r="X17" s="4">
        <v>0.2</v>
      </c>
      <c r="Y17" s="4">
        <v>1</v>
      </c>
      <c r="Z17" s="12">
        <v>1</v>
      </c>
      <c r="AA17" s="13">
        <f t="shared" si="0"/>
        <v>16.154</v>
      </c>
      <c r="AB17" s="14">
        <f t="shared" si="1"/>
        <v>1.159532224860532E-2</v>
      </c>
    </row>
    <row r="18" spans="1:28" x14ac:dyDescent="0.3">
      <c r="A18" s="1" t="s">
        <v>16</v>
      </c>
      <c r="B18" s="4">
        <v>0.33300000000000002</v>
      </c>
      <c r="C18" s="4">
        <v>0.33300000000000002</v>
      </c>
      <c r="D18" s="4">
        <v>1</v>
      </c>
      <c r="E18" s="4">
        <v>1</v>
      </c>
      <c r="F18" s="4">
        <v>0.33300000000000002</v>
      </c>
      <c r="G18" s="4">
        <v>1</v>
      </c>
      <c r="H18" s="4">
        <v>1</v>
      </c>
      <c r="I18" s="4">
        <v>0.111</v>
      </c>
      <c r="J18" s="4">
        <v>0.111</v>
      </c>
      <c r="K18" s="4">
        <v>0.111</v>
      </c>
      <c r="L18" s="4">
        <v>1</v>
      </c>
      <c r="M18" s="4">
        <v>1</v>
      </c>
      <c r="N18" s="4">
        <v>0.2</v>
      </c>
      <c r="O18" s="4">
        <v>0.111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0.111</v>
      </c>
      <c r="V18" s="4">
        <v>0.2</v>
      </c>
      <c r="W18" s="4">
        <v>1</v>
      </c>
      <c r="X18" s="4">
        <v>0.2</v>
      </c>
      <c r="Y18" s="4">
        <v>1</v>
      </c>
      <c r="Z18" s="12">
        <v>1</v>
      </c>
      <c r="AA18" s="13">
        <f t="shared" si="0"/>
        <v>16.154</v>
      </c>
      <c r="AB18" s="14">
        <f t="shared" si="1"/>
        <v>1.159532224860532E-2</v>
      </c>
    </row>
    <row r="19" spans="1:28" x14ac:dyDescent="0.3">
      <c r="A19" s="1" t="s">
        <v>17</v>
      </c>
      <c r="B19" s="4">
        <v>0.33300000000000002</v>
      </c>
      <c r="C19" s="4">
        <v>0.33300000000000002</v>
      </c>
      <c r="D19" s="4">
        <v>1</v>
      </c>
      <c r="E19" s="4">
        <v>1</v>
      </c>
      <c r="F19" s="4">
        <v>0.33300000000000002</v>
      </c>
      <c r="G19" s="4">
        <v>1</v>
      </c>
      <c r="H19" s="4">
        <v>1</v>
      </c>
      <c r="I19" s="4">
        <v>0.111</v>
      </c>
      <c r="J19" s="4">
        <v>0.111</v>
      </c>
      <c r="K19" s="4">
        <v>0.111</v>
      </c>
      <c r="L19" s="4">
        <v>1</v>
      </c>
      <c r="M19" s="4">
        <v>1</v>
      </c>
      <c r="N19" s="4">
        <v>0.2</v>
      </c>
      <c r="O19" s="4">
        <v>0.111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0.111</v>
      </c>
      <c r="V19" s="4">
        <v>0.2</v>
      </c>
      <c r="W19" s="4">
        <v>1</v>
      </c>
      <c r="X19" s="4">
        <v>0.2</v>
      </c>
      <c r="Y19" s="4">
        <v>1</v>
      </c>
      <c r="Z19" s="12">
        <v>1</v>
      </c>
      <c r="AA19" s="13">
        <f t="shared" si="0"/>
        <v>16.154</v>
      </c>
      <c r="AB19" s="14">
        <f t="shared" si="1"/>
        <v>1.159532224860532E-2</v>
      </c>
    </row>
    <row r="20" spans="1:28" x14ac:dyDescent="0.3">
      <c r="A20" s="1" t="s">
        <v>18</v>
      </c>
      <c r="B20" s="4">
        <v>0.33300000000000002</v>
      </c>
      <c r="C20" s="4">
        <v>0.33300000000000002</v>
      </c>
      <c r="D20" s="4">
        <v>1</v>
      </c>
      <c r="E20" s="4">
        <v>1</v>
      </c>
      <c r="F20" s="4">
        <v>0.33300000000000002</v>
      </c>
      <c r="G20" s="4">
        <v>1</v>
      </c>
      <c r="H20" s="4">
        <v>1</v>
      </c>
      <c r="I20" s="4">
        <v>0.111</v>
      </c>
      <c r="J20" s="4">
        <v>0.111</v>
      </c>
      <c r="K20" s="4">
        <v>0.111</v>
      </c>
      <c r="L20" s="4">
        <v>1</v>
      </c>
      <c r="M20" s="4">
        <v>1</v>
      </c>
      <c r="N20" s="4">
        <v>0.2</v>
      </c>
      <c r="O20" s="4">
        <v>0.111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0.111</v>
      </c>
      <c r="V20" s="4">
        <v>0.2</v>
      </c>
      <c r="W20" s="4">
        <v>1</v>
      </c>
      <c r="X20" s="4">
        <v>0.2</v>
      </c>
      <c r="Y20" s="4">
        <v>1</v>
      </c>
      <c r="Z20" s="12">
        <v>1</v>
      </c>
      <c r="AA20" s="13">
        <f t="shared" si="0"/>
        <v>16.154</v>
      </c>
      <c r="AB20" s="14">
        <f t="shared" si="1"/>
        <v>1.159532224860532E-2</v>
      </c>
    </row>
    <row r="21" spans="1:28" x14ac:dyDescent="0.3">
      <c r="A21" s="1" t="s">
        <v>19</v>
      </c>
      <c r="B21" s="4">
        <v>5</v>
      </c>
      <c r="C21" s="4">
        <v>5</v>
      </c>
      <c r="D21" s="4">
        <v>9</v>
      </c>
      <c r="E21" s="4">
        <v>9</v>
      </c>
      <c r="F21" s="4">
        <v>5</v>
      </c>
      <c r="G21" s="4">
        <v>9</v>
      </c>
      <c r="H21" s="4">
        <v>9</v>
      </c>
      <c r="I21" s="4">
        <v>1</v>
      </c>
      <c r="J21" s="4">
        <v>1</v>
      </c>
      <c r="K21" s="4">
        <v>1</v>
      </c>
      <c r="L21" s="4">
        <v>9</v>
      </c>
      <c r="M21" s="4">
        <v>9</v>
      </c>
      <c r="N21" s="4">
        <v>3</v>
      </c>
      <c r="O21" s="4">
        <v>1</v>
      </c>
      <c r="P21" s="4">
        <v>9</v>
      </c>
      <c r="Q21" s="4">
        <v>9</v>
      </c>
      <c r="R21" s="4">
        <v>9</v>
      </c>
      <c r="S21" s="4">
        <v>9</v>
      </c>
      <c r="T21" s="4">
        <v>9</v>
      </c>
      <c r="U21" s="4">
        <v>1</v>
      </c>
      <c r="V21" s="4">
        <v>3</v>
      </c>
      <c r="W21" s="4">
        <v>9</v>
      </c>
      <c r="X21" s="4">
        <v>3</v>
      </c>
      <c r="Y21" s="4">
        <v>9</v>
      </c>
      <c r="Z21" s="12">
        <v>9</v>
      </c>
      <c r="AA21" s="13">
        <f t="shared" si="0"/>
        <v>155</v>
      </c>
      <c r="AB21" s="14">
        <f t="shared" si="1"/>
        <v>0.11125881815858762</v>
      </c>
    </row>
    <row r="22" spans="1:28" x14ac:dyDescent="0.3">
      <c r="A22" s="1" t="s">
        <v>20</v>
      </c>
      <c r="B22" s="4">
        <v>3</v>
      </c>
      <c r="C22" s="4">
        <v>3</v>
      </c>
      <c r="D22" s="4">
        <v>5</v>
      </c>
      <c r="E22" s="4">
        <v>5</v>
      </c>
      <c r="F22" s="4">
        <v>3</v>
      </c>
      <c r="G22" s="4">
        <v>5</v>
      </c>
      <c r="H22" s="4">
        <v>5</v>
      </c>
      <c r="I22" s="4">
        <v>0.33300000000000002</v>
      </c>
      <c r="J22" s="4">
        <v>0.33300000000000002</v>
      </c>
      <c r="K22" s="4">
        <v>0.33300000000000002</v>
      </c>
      <c r="L22" s="4">
        <v>5</v>
      </c>
      <c r="M22" s="4">
        <v>5</v>
      </c>
      <c r="N22" s="4">
        <v>1</v>
      </c>
      <c r="O22" s="4">
        <v>0.33300000000000002</v>
      </c>
      <c r="P22" s="4">
        <v>5</v>
      </c>
      <c r="Q22" s="4">
        <v>5</v>
      </c>
      <c r="R22" s="4">
        <v>5</v>
      </c>
      <c r="S22" s="4">
        <v>5</v>
      </c>
      <c r="T22" s="4">
        <v>5</v>
      </c>
      <c r="U22" s="4">
        <v>0.33300000000000002</v>
      </c>
      <c r="V22" s="4">
        <v>1</v>
      </c>
      <c r="W22" s="4">
        <v>5</v>
      </c>
      <c r="X22" s="4">
        <v>1</v>
      </c>
      <c r="Y22" s="4">
        <v>5</v>
      </c>
      <c r="Z22" s="12">
        <v>5</v>
      </c>
      <c r="AA22" s="13">
        <f t="shared" si="0"/>
        <v>83.664999999999992</v>
      </c>
      <c r="AB22" s="14">
        <f t="shared" si="1"/>
        <v>6.0054638846698274E-2</v>
      </c>
    </row>
    <row r="23" spans="1:28" x14ac:dyDescent="0.3">
      <c r="A23" s="1" t="s">
        <v>21</v>
      </c>
      <c r="B23" s="4">
        <v>0.33300000000000002</v>
      </c>
      <c r="C23" s="4">
        <v>0.33300000000000002</v>
      </c>
      <c r="D23" s="4">
        <v>1</v>
      </c>
      <c r="E23" s="4">
        <v>1</v>
      </c>
      <c r="F23" s="4">
        <v>0.33300000000000002</v>
      </c>
      <c r="G23" s="4">
        <v>1</v>
      </c>
      <c r="H23" s="4">
        <v>1</v>
      </c>
      <c r="I23" s="4">
        <v>0.111</v>
      </c>
      <c r="J23" s="4">
        <v>0.111</v>
      </c>
      <c r="K23" s="4">
        <v>0.111</v>
      </c>
      <c r="L23" s="4">
        <v>1</v>
      </c>
      <c r="M23" s="4">
        <v>1</v>
      </c>
      <c r="N23" s="4">
        <v>0.2</v>
      </c>
      <c r="O23" s="4">
        <v>0.111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0.111</v>
      </c>
      <c r="V23" s="4">
        <v>0.2</v>
      </c>
      <c r="W23" s="4">
        <v>1</v>
      </c>
      <c r="X23" s="4">
        <v>0.2</v>
      </c>
      <c r="Y23" s="4">
        <v>1</v>
      </c>
      <c r="Z23" s="12">
        <v>1</v>
      </c>
      <c r="AA23" s="13">
        <f t="shared" si="0"/>
        <v>16.154</v>
      </c>
      <c r="AB23" s="14">
        <f t="shared" si="1"/>
        <v>1.159532224860532E-2</v>
      </c>
    </row>
    <row r="24" spans="1:28" x14ac:dyDescent="0.3">
      <c r="A24" s="1" t="s">
        <v>22</v>
      </c>
      <c r="B24" s="4">
        <v>3</v>
      </c>
      <c r="C24" s="4">
        <v>3</v>
      </c>
      <c r="D24" s="4">
        <v>5</v>
      </c>
      <c r="E24" s="4">
        <v>5</v>
      </c>
      <c r="F24" s="4">
        <v>3</v>
      </c>
      <c r="G24" s="4">
        <v>5</v>
      </c>
      <c r="H24" s="4">
        <v>5</v>
      </c>
      <c r="I24" s="4">
        <v>0.33300000000000002</v>
      </c>
      <c r="J24" s="4">
        <v>0.33300000000000002</v>
      </c>
      <c r="K24" s="4">
        <v>0.33300000000000002</v>
      </c>
      <c r="L24" s="4">
        <v>5</v>
      </c>
      <c r="M24" s="4">
        <v>5</v>
      </c>
      <c r="N24" s="4">
        <v>1</v>
      </c>
      <c r="O24" s="4">
        <v>0.33300000000000002</v>
      </c>
      <c r="P24" s="4">
        <v>5</v>
      </c>
      <c r="Q24" s="4">
        <v>5</v>
      </c>
      <c r="R24" s="4">
        <v>5</v>
      </c>
      <c r="S24" s="4">
        <v>5</v>
      </c>
      <c r="T24" s="4">
        <v>5</v>
      </c>
      <c r="U24" s="4">
        <v>0.33300000000000002</v>
      </c>
      <c r="V24" s="4">
        <v>1</v>
      </c>
      <c r="W24" s="4">
        <v>5</v>
      </c>
      <c r="X24" s="4">
        <v>1</v>
      </c>
      <c r="Y24" s="4">
        <v>5</v>
      </c>
      <c r="Z24" s="12">
        <v>5</v>
      </c>
      <c r="AA24" s="13">
        <f t="shared" si="0"/>
        <v>83.664999999999992</v>
      </c>
      <c r="AB24" s="14">
        <f t="shared" si="1"/>
        <v>6.0054638846698274E-2</v>
      </c>
    </row>
    <row r="25" spans="1:28" x14ac:dyDescent="0.3">
      <c r="A25" s="1" t="s">
        <v>23</v>
      </c>
      <c r="B25" s="4">
        <v>0.33300000000000002</v>
      </c>
      <c r="C25" s="4">
        <v>0.33300000000000002</v>
      </c>
      <c r="D25" s="4">
        <v>1</v>
      </c>
      <c r="E25" s="4">
        <v>1</v>
      </c>
      <c r="F25" s="4">
        <v>0.33300000000000002</v>
      </c>
      <c r="G25" s="4">
        <v>1</v>
      </c>
      <c r="H25" s="4">
        <v>1</v>
      </c>
      <c r="I25" s="4">
        <v>0.111</v>
      </c>
      <c r="J25" s="4">
        <v>0.111</v>
      </c>
      <c r="K25" s="4">
        <v>0.111</v>
      </c>
      <c r="L25" s="4">
        <v>1</v>
      </c>
      <c r="M25" s="4">
        <v>1</v>
      </c>
      <c r="N25" s="4">
        <v>0.2</v>
      </c>
      <c r="O25" s="4">
        <v>0.111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0.111</v>
      </c>
      <c r="V25" s="4">
        <v>0.2</v>
      </c>
      <c r="W25" s="4">
        <v>1</v>
      </c>
      <c r="X25" s="4">
        <v>0.2</v>
      </c>
      <c r="Y25" s="4">
        <v>1</v>
      </c>
      <c r="Z25" s="12">
        <v>1</v>
      </c>
      <c r="AA25" s="13">
        <f t="shared" si="0"/>
        <v>16.154</v>
      </c>
      <c r="AB25" s="14">
        <f t="shared" si="1"/>
        <v>1.159532224860532E-2</v>
      </c>
    </row>
    <row r="26" spans="1:28" x14ac:dyDescent="0.3">
      <c r="A26" s="1" t="s">
        <v>24</v>
      </c>
      <c r="B26" s="4">
        <v>0.33300000000000002</v>
      </c>
      <c r="C26" s="4">
        <v>0.33300000000000002</v>
      </c>
      <c r="D26" s="4">
        <v>1</v>
      </c>
      <c r="E26" s="4">
        <v>1</v>
      </c>
      <c r="F26" s="4">
        <v>0.33300000000000002</v>
      </c>
      <c r="G26" s="4">
        <v>1</v>
      </c>
      <c r="H26" s="4">
        <v>1</v>
      </c>
      <c r="I26" s="4">
        <v>0.111</v>
      </c>
      <c r="J26" s="4">
        <v>0.111</v>
      </c>
      <c r="K26" s="4">
        <v>0.111</v>
      </c>
      <c r="L26" s="4">
        <v>1</v>
      </c>
      <c r="M26" s="4">
        <v>1</v>
      </c>
      <c r="N26" s="4">
        <v>0.2</v>
      </c>
      <c r="O26" s="4">
        <v>0.111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0.111</v>
      </c>
      <c r="V26" s="4">
        <v>0.2</v>
      </c>
      <c r="W26" s="4">
        <v>1</v>
      </c>
      <c r="X26" s="4">
        <v>0.2</v>
      </c>
      <c r="Y26" s="4">
        <v>1</v>
      </c>
      <c r="Z26" s="12">
        <v>1</v>
      </c>
      <c r="AA26" s="13">
        <f t="shared" si="0"/>
        <v>16.154</v>
      </c>
      <c r="AB26" s="14">
        <f t="shared" si="1"/>
        <v>1.159532224860532E-2</v>
      </c>
    </row>
    <row r="27" spans="1:28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3">
        <f>SUM(AA2:AA26)</f>
        <v>1393.1479999999997</v>
      </c>
      <c r="AB27" s="14">
        <f>SUM(AB2:AB26)</f>
        <v>0.99999999999999967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Phishing</vt:lpstr>
      <vt:lpstr>Spear-phishing</vt:lpstr>
      <vt:lpstr>Baiting</vt:lpstr>
      <vt:lpstr>Water-holing</vt:lpstr>
      <vt:lpstr>Pretexting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alkova</dc:creator>
  <cp:lastModifiedBy>alina alkova</cp:lastModifiedBy>
  <dcterms:created xsi:type="dcterms:W3CDTF">2025-12-17T23:04:39Z</dcterms:created>
  <dcterms:modified xsi:type="dcterms:W3CDTF">2025-12-18T20:38:57Z</dcterms:modified>
</cp:coreProperties>
</file>